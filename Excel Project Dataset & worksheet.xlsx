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Meric\Downloads\"/>
    </mc:Choice>
  </mc:AlternateContent>
  <xr:revisionPtr revIDLastSave="0" documentId="13_ncr:1_{C6E7286E-050F-4B24-8044-023B84D49B23}"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<sst xmlns="http://schemas.openxmlformats.org/spreadsheetml/2006/main" count="16271" uniqueCount="54">
  <si>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</si>
  <si>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</si>
  <si>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</si>
  <si>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</si>
  <si>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</si>
  <si>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</si>
  <si>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</si>
  <si>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</si>
  <si>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</si>
  <si>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</si>
  <si>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</si>
  <si>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</si>
  <si>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</si>
  <si>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</si>
  <si>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</si>
  <si>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</si>
  <si>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</si>
  <si>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</si>
  <si>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</si>
  <si>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</si>
  <si>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</si>
  <si>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</si>
  <si>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</si>
  <si>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</si>
  <si>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</si>
  <si>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</si>
  <si>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</si>
  <si>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</si>
  <si>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</si>
  <si>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</si>
  <si>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</si>
  <si>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</si>
  <si>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</si>
  <si>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</si>
  <si>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</si>
  <si>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</si>
  <si>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1. remove duplicates</t>
  </si>
  <si>
    <t>Married</t>
  </si>
  <si>
    <t>Single</t>
  </si>
  <si>
    <t>Male</t>
  </si>
  <si>
    <t>Female</t>
  </si>
  <si>
    <t>Age Braket</t>
  </si>
  <si>
    <t>Row Labels</t>
  </si>
  <si>
    <t>Grand Total</t>
  </si>
  <si>
    <t>Average of Income</t>
  </si>
  <si>
    <t>Column Labels</t>
  </si>
  <si>
    <t>Count of Purchased Bike</t>
  </si>
  <si>
    <t>old &gt; 54</t>
  </si>
  <si>
    <t>middle age &gt; 31-53</t>
  </si>
  <si>
    <t>adolescent &lt; 30</t>
  </si>
  <si>
    <t>Bike Sales Dashboard</t>
  </si>
  <si>
    <t>notes</t>
  </si>
  <si>
    <t>2. standardize data</t>
  </si>
  <si>
    <t>3. making age braket using 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</si>
</sst>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D55-4D1B-B9E6-9FAD2C7FD190}"/>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D55-4D1B-B9E6-9FAD2C7FD190}"/>
            </c:ext>
          </c:extLst>
        </c:ser>
        <c:dLbls>
          <c:dLblPos val="outEnd"/>
          <c:showLegendKey val="0"/>
          <c:showVal val="1"/>
          <c:showCatName val="0"/>
          <c:showSerName val="0"/>
          <c:showPercent val="0"/>
          <c:showBubbleSize val="0"/>
        </c:dLbls>
        <c:gapWidth val="100"/>
        <c:overlap val="-24"/>
        <c:axId val="1765126879"/>
        <c:axId val="1765143679"/>
      </c:barChart>
      <c:catAx>
        <c:axId val="17651268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43679"/>
        <c:crosses val="autoZero"/>
        <c:auto val="1"/>
        <c:lblAlgn val="ctr"/>
        <c:lblOffset val="100"/>
        <c:noMultiLvlLbl val="0"/>
      </c:catAx>
      <c:valAx>
        <c:axId val="176514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2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table'!$B$26:$B$27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347F-4CF2-8DC6-DB961080C463}"/>
            </c:ext>
          </c:extLst>
        </c:ser>
        <c:ser>
          <c:idx val="1"/>
          <c:order val="1"/>
          <c:tx>
            <c:strRef>
              <c:f>'pivot table'!$C$26:$C$27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347F-4CF2-8DC6-DB961080C463}"/>
            </c:ext>
          </c:extLst>
        </c:ser>
        <c:dLbls>
          <c:showLegendKey val="0"/>
          <c:showVal val="0"/>
          <c:showCatName val="0"/>
          <c:showSerName val="0"/>
          <c:showPercent val="0"/>
          <c:showBubbleSize val="0"/>
        </c:dLbls>
        <c:gapWidth val="115"/>
        <c:overlap val="-20"/>
        <c:axId val="447185519"/>
        <c:axId val="447194159"/>
      </c:barChart>
      <c:catAx>
        <c:axId val="447185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94159"/>
        <c:crosses val="autoZero"/>
        <c:auto val="1"/>
        <c:lblAlgn val="ctr"/>
        <c:lblOffset val="100"/>
        <c:noMultiLvlLbl val="0"/>
      </c:catAx>
      <c:valAx>
        <c:axId val="44719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table'!$N$3:$N$4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table'!$M$5:$M$8</c:f>
              <c:strCache>
                <c:ptCount val="3"/>
                <c:pt idx="0">
                  <c:v>adolescent &lt; 30</c:v>
                </c:pt>
                <c:pt idx="1">
                  <c:v>middle age &gt; 31-53</c:v>
                </c:pt>
                <c:pt idx="2">
                  <c:v>old &gt; 54</c:v>
                </c:pt>
              </c:strCache>
            </c:strRef>
          </c:cat>
          <c:val>
            <c:numRef>
              <c:f>'pivot table'!$N$5:$N$8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CF3-4B65-A13C-A7341AF465BC}"/>
            </c:ext>
          </c:extLst>
        </c:ser>
        <c:ser>
          <c:idx val="1"/>
          <c:order val="1"/>
          <c:tx>
            <c:strRef>
              <c:f>'pivot table'!$O$3:$O$4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table'!$M$5:$M$8</c:f>
              <c:strCache>
                <c:ptCount val="3"/>
                <c:pt idx="0">
                  <c:v>adolescent &lt; 30</c:v>
                </c:pt>
                <c:pt idx="1">
                  <c:v>middle age &gt; 31-53</c:v>
                </c:pt>
                <c:pt idx="2">
                  <c:v>old &gt; 54</c:v>
                </c:pt>
              </c:strCache>
            </c:strRef>
          </c:cat>
          <c:val>
            <c:numRef>
              <c:f>'pivot table'!$O$5:$O$8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CF3-4B65-A13C-A7341AF465BC}"/>
            </c:ext>
          </c:extLst>
        </c:ser>
        <c:dLbls>
          <c:showLegendKey val="0"/>
          <c:showVal val="0"/>
          <c:showCatName val="0"/>
          <c:showSerName val="0"/>
          <c:showPercent val="0"/>
          <c:showBubbleSize val="0"/>
        </c:dLbls>
        <c:marker val="1"/>
        <c:smooth val="0"/>
        <c:axId val="447210959"/>
        <c:axId val="447211439"/>
      </c:lineChart>
      <c:catAx>
        <c:axId val="44721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1439"/>
        <c:crosses val="autoZero"/>
        <c:auto val="1"/>
        <c:lblAlgn val="ctr"/>
        <c:lblOffset val="100"/>
        <c:noMultiLvlLbl val="0"/>
      </c:catAx>
      <c:valAx>
        <c:axId val="44721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table'!$N$3:$N$4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table'!$M$5:$M$8</c:f>
              <c:strCache>
                <c:ptCount val="3"/>
                <c:pt idx="0">
                  <c:v>adolescent &lt; 30</c:v>
                </c:pt>
                <c:pt idx="1">
                  <c:v>middle age &gt; 31-53</c:v>
                </c:pt>
                <c:pt idx="2">
                  <c:v>old &gt; 54</c:v>
                </c:pt>
              </c:strCache>
            </c:strRef>
          </c:cat>
          <c:val>
            <c:numRef>
              <c:f>'pivot table'!$N$5:$N$8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3F-4163-B376-937BD0BF123F}"/>
            </c:ext>
          </c:extLst>
        </c:ser>
        <c:ser>
          <c:idx val="1"/>
          <c:order val="1"/>
          <c:tx>
            <c:strRef>
              <c:f>'pivot table'!$O$3:$O$4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table'!$M$5:$M$8</c:f>
              <c:strCache>
                <c:ptCount val="3"/>
                <c:pt idx="0">
                  <c:v>adolescent &lt; 30</c:v>
                </c:pt>
                <c:pt idx="1">
                  <c:v>middle age &gt; 31-53</c:v>
                </c:pt>
                <c:pt idx="2">
                  <c:v>old &gt; 54</c:v>
                </c:pt>
              </c:strCache>
            </c:strRef>
          </c:cat>
          <c:val>
            <c:numRef>
              <c:f>'pivot table'!$O$5:$O$8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3F-4163-B376-937BD0BF123F}"/>
            </c:ext>
          </c:extLst>
        </c:ser>
        <c:dLbls>
          <c:showLegendKey val="0"/>
          <c:showVal val="0"/>
          <c:showCatName val="0"/>
          <c:showSerName val="0"/>
          <c:showPercent val="0"/>
          <c:showBubbleSize val="0"/>
        </c:dLbls>
        <c:marker val="1"/>
        <c:smooth val="0"/>
        <c:axId val="447210959"/>
        <c:axId val="447211439"/>
      </c:lineChart>
      <c:catAx>
        <c:axId val="44721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1439"/>
        <c:crosses val="autoZero"/>
        <c:auto val="1"/>
        <c:lblAlgn val="ctr"/>
        <c:lblOffset val="100"/>
        <c:noMultiLvlLbl val="0"/>
      </c:catAx>
      <c:valAx>
        <c:axId val="44721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F95-4A0E-AE91-94D15D4D2A4A}"/>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F95-4A0E-AE91-94D15D4D2A4A}"/>
            </c:ext>
          </c:extLst>
        </c:ser>
        <c:dLbls>
          <c:dLblPos val="outEnd"/>
          <c:showLegendKey val="0"/>
          <c:showVal val="1"/>
          <c:showCatName val="0"/>
          <c:showSerName val="0"/>
          <c:showPercent val="0"/>
          <c:showBubbleSize val="0"/>
        </c:dLbls>
        <c:gapWidth val="100"/>
        <c:overlap val="-24"/>
        <c:axId val="1765126879"/>
        <c:axId val="1765143679"/>
      </c:barChart>
      <c:catAx>
        <c:axId val="17651268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43679"/>
        <c:crosses val="autoZero"/>
        <c:auto val="1"/>
        <c:lblAlgn val="ctr"/>
        <c:lblOffset val="100"/>
        <c:noMultiLvlLbl val="0"/>
      </c:catAx>
      <c:valAx>
        <c:axId val="176514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2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table'!$B$26:$B$27</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table'!$B$28:$B$33</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78C0-4A60-AC2E-5B2D6E7B31F0}"/>
            </c:ext>
          </c:extLst>
        </c:ser>
        <c:ser>
          <c:idx val="1"/>
          <c:order val="1"/>
          <c:tx>
            <c:strRef>
              <c:f>'pivot table'!$C$26:$C$27</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table'!$A$28:$A$33</c:f>
              <c:strCache>
                <c:ptCount val="5"/>
                <c:pt idx="0">
                  <c:v>0-1 Miles</c:v>
                </c:pt>
                <c:pt idx="1">
                  <c:v>1-2 Miles</c:v>
                </c:pt>
                <c:pt idx="2">
                  <c:v>2-5 Miles</c:v>
                </c:pt>
                <c:pt idx="3">
                  <c:v>5-10 Miles</c:v>
                </c:pt>
                <c:pt idx="4">
                  <c:v>10+ Miles</c:v>
                </c:pt>
              </c:strCache>
            </c:strRef>
          </c:cat>
          <c:val>
            <c:numRef>
              <c:f>'pivot table'!$C$28:$C$33</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78C0-4A60-AC2E-5B2D6E7B31F0}"/>
            </c:ext>
          </c:extLst>
        </c:ser>
        <c:dLbls>
          <c:showLegendKey val="0"/>
          <c:showVal val="0"/>
          <c:showCatName val="0"/>
          <c:showSerName val="0"/>
          <c:showPercent val="0"/>
          <c:showBubbleSize val="0"/>
        </c:dLbls>
        <c:gapWidth val="115"/>
        <c:overlap val="-20"/>
        <c:axId val="447185519"/>
        <c:axId val="447194159"/>
      </c:barChart>
      <c:catAx>
        <c:axId val="447185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94159"/>
        <c:crosses val="autoZero"/>
        <c:auto val="1"/>
        <c:lblAlgn val="ctr"/>
        <c:lblOffset val="100"/>
        <c:noMultiLvlLbl val="0"/>
      </c:catAx>
      <c:valAx>
        <c:axId val="44719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8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129540</xdr:rowOff>
    </xdr:from>
    <xdr:to>
      <xdr:col>4</xdr:col>
      <xdr:colOff>0</xdr:colOff>
      <xdr:row>22</xdr:row>
      <xdr:rowOff>129540</xdr:rowOff>
    </xdr:to>
    <xdr:graphicFrame macro="">
      <xdr:nvGraphicFramePr>
        <xdr:cNvPr id="2" name="Chart 1">
          <a:extLst>
            <a:ext uri="{FF2B5EF4-FFF2-40B4-BE49-F238E27FC236}">
              <a16:creationId xmlns:a16="http://schemas.microsoft.com/office/drawing/2014/main" id="{7B3BAF06-6FFF-2684-8A43-5E08FC727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33</xdr:row>
      <xdr:rowOff>15240</xdr:rowOff>
    </xdr:from>
    <xdr:to>
      <xdr:col>3</xdr:col>
      <xdr:colOff>1356360</xdr:colOff>
      <xdr:row>48</xdr:row>
      <xdr:rowOff>15240</xdr:rowOff>
    </xdr:to>
    <xdr:graphicFrame macro="">
      <xdr:nvGraphicFramePr>
        <xdr:cNvPr id="3" name="Chart 2">
          <a:extLst>
            <a:ext uri="{FF2B5EF4-FFF2-40B4-BE49-F238E27FC236}">
              <a16:creationId xmlns:a16="http://schemas.microsoft.com/office/drawing/2014/main" id="{22DC486E-8321-B13B-6597-B1AC60D43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8</xdr:row>
      <xdr:rowOff>129540</xdr:rowOff>
    </xdr:from>
    <xdr:to>
      <xdr:col>16</xdr:col>
      <xdr:colOff>15240</xdr:colOff>
      <xdr:row>23</xdr:row>
      <xdr:rowOff>129540</xdr:rowOff>
    </xdr:to>
    <xdr:graphicFrame macro="">
      <xdr:nvGraphicFramePr>
        <xdr:cNvPr id="4" name="Chart 3">
          <a:extLst>
            <a:ext uri="{FF2B5EF4-FFF2-40B4-BE49-F238E27FC236}">
              <a16:creationId xmlns:a16="http://schemas.microsoft.com/office/drawing/2014/main" id="{2C326C63-8BA8-2122-3749-290BD2375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388620</xdr:colOff>
      <xdr:row>19</xdr:row>
      <xdr:rowOff>0</xdr:rowOff>
    </xdr:to>
    <xdr:graphicFrame macro="">
      <xdr:nvGraphicFramePr>
        <xdr:cNvPr id="2" name="Chart 1">
          <a:extLst>
            <a:ext uri="{FF2B5EF4-FFF2-40B4-BE49-F238E27FC236}">
              <a16:creationId xmlns:a16="http://schemas.microsoft.com/office/drawing/2014/main" id="{C8969798-8D36-4E55-8A49-78A3CD2D1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4</xdr:row>
      <xdr:rowOff>0</xdr:rowOff>
    </xdr:from>
    <xdr:to>
      <xdr:col>12</xdr:col>
      <xdr:colOff>601980</xdr:colOff>
      <xdr:row>19</xdr:row>
      <xdr:rowOff>7620</xdr:rowOff>
    </xdr:to>
    <xdr:graphicFrame macro="">
      <xdr:nvGraphicFramePr>
        <xdr:cNvPr id="3" name="Chart 2">
          <a:extLst>
            <a:ext uri="{FF2B5EF4-FFF2-40B4-BE49-F238E27FC236}">
              <a16:creationId xmlns:a16="http://schemas.microsoft.com/office/drawing/2014/main" id="{A020224D-062E-4615-81FB-517EC8184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13</xdr:col>
      <xdr:colOff>0</xdr:colOff>
      <xdr:row>34</xdr:row>
      <xdr:rowOff>0</xdr:rowOff>
    </xdr:to>
    <xdr:graphicFrame macro="">
      <xdr:nvGraphicFramePr>
        <xdr:cNvPr id="4" name="Chart 3">
          <a:extLst>
            <a:ext uri="{FF2B5EF4-FFF2-40B4-BE49-F238E27FC236}">
              <a16:creationId xmlns:a16="http://schemas.microsoft.com/office/drawing/2014/main" id="{481A1A60-3432-4F37-B91B-37356E950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8069</xdr:colOff>
      <xdr:row>3</xdr:row>
      <xdr:rowOff>173467</xdr:rowOff>
    </xdr:from>
    <xdr:to>
      <xdr:col>16</xdr:col>
      <xdr:colOff>8069</xdr:colOff>
      <xdr:row>17</xdr:row>
      <xdr:rowOff>130324</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67FE96E6-D935-F93E-786B-1AFA9749BA5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932869" y="711349"/>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6275</xdr:colOff>
      <xdr:row>9</xdr:row>
      <xdr:rowOff>144779</xdr:rowOff>
    </xdr:from>
    <xdr:to>
      <xdr:col>16</xdr:col>
      <xdr:colOff>6275</xdr:colOff>
      <xdr:row>23</xdr:row>
      <xdr:rowOff>101636</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79F888FD-96BC-B690-0CBD-FA34C7D8B96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931075" y="1758426"/>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11206</xdr:colOff>
      <xdr:row>20</xdr:row>
      <xdr:rowOff>35860</xdr:rowOff>
    </xdr:from>
    <xdr:to>
      <xdr:col>16</xdr:col>
      <xdr:colOff>11206</xdr:colOff>
      <xdr:row>33</xdr:row>
      <xdr:rowOff>172011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3A7FEB3-E275-E983-2DA1-35E983E251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36006" y="3621742"/>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icky Fam" refreshedDate="46318.697909953706" createdVersion="8" refreshedVersion="8" minRefreshableVersion="3" recordCount="1000" xr:uid="{1F477F60-EC42-4017-BEB6-16D0023B8B2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71091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023F62-838C-4F5D-A5B2-52FA5A2C69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P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n="adolescent &lt; 30" x="2"/>
        <item n="middle age &gt; 31-53" x="0"/>
        <item n="old &gt; 54"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19F3E2-80DB-4C8E-9315-C2D787576C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3EC54B-38FF-4CA7-8910-C8DD4F44F5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7EBCDEC-899F-419B-A6C9-D6F769F3DEBD}" sourceName="Marital Status">
  <pivotTables>
    <pivotTable tabId="3" name="PivotTable2"/>
    <pivotTable tabId="3" name="PivotTable4"/>
    <pivotTable tabId="3" name="PivotTable5"/>
  </pivotTables>
  <data>
    <tabular pivotCacheId="7710913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7EFC14F-B72B-47FC-AA35-12FCE68AA0D7}" sourceName="Education">
  <pivotTables>
    <pivotTable tabId="3" name="PivotTable5"/>
    <pivotTable tabId="3" name="PivotTable2"/>
    <pivotTable tabId="3" name="PivotTable4"/>
  </pivotTables>
  <data>
    <tabular pivotCacheId="77109138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AE90FD-B851-49B7-A87E-9ACD21F0A3DA}" sourceName="Region">
  <pivotTables>
    <pivotTable tabId="3" name="PivotTable5"/>
    <pivotTable tabId="3" name="PivotTable2"/>
    <pivotTable tabId="3" name="PivotTable4"/>
  </pivotTables>
  <data>
    <tabular pivotCacheId="7710913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4D5280C-3927-45EE-BC32-979FFD7450CF}" cache="Slicer_Marital_Status" caption="Marital Status" rowHeight="234950"/>
  <slicer name="Education" xr10:uid="{D02B8D1D-1FE1-48C6-8DB8-E8FBECFFBE3F}" cache="Slicer_Education" caption="Education" rowHeight="234950"/>
  <slicer name="Region" xr10:uid="{2263EFAA-A83A-4DE0-9BE7-98A64B4CBAA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BFED-70B0-476C-8901-70E9B7D349F6}">
  <dimension ref="A1:R1001"/>
  <sheetViews>
    <sheetView tabSelected="1" workbookViewId="0">
      <selection activeCell="P5" sqref="P5:R5"/>
    </sheetView>
  </sheetViews>
  <sheetFormatPr defaultRowHeight="14.4" x14ac:dyDescent="0.3"/>
  <cols>
    <col min="1" max="1" width="6" bestFit="1" customWidth="1"/>
    <col min="2" max="2" width="14.5546875" bestFit="1" customWidth="1"/>
    <col min="3" max="3" width="9.109375" bestFit="1" customWidth="1"/>
    <col min="4" max="4" width="11"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6.5546875" bestFit="1" customWidth="1"/>
    <col min="11" max="11" width="12.88671875" bestFit="1" customWidth="1"/>
    <col min="12" max="12" width="6.109375" customWidth="1"/>
    <col min="13" max="13" width="12" bestFit="1" customWidth="1"/>
    <col min="14" max="14" width="15.5546875" bestFit="1" customWidth="1"/>
  </cols>
  <sheetData>
    <row r="1" spans="1:18" x14ac:dyDescent="0.3">
      <c r="A1" t="s">
        <v>0</v>
      </c>
      <c r="B1" t="s">
        <v>1</v>
      </c>
      <c r="C1" t="s">
        <v>2</v>
      </c>
      <c r="D1" t="s">
        <v>3</v>
      </c>
      <c r="E1" t="s">
        <v>4</v>
      </c>
      <c r="F1" t="s">
        <v>5</v>
      </c>
      <c r="G1" t="s">
        <v>6</v>
      </c>
      <c r="H1" t="s">
        <v>7</v>
      </c>
      <c r="I1" t="s">
        <v>8</v>
      </c>
      <c r="J1" t="s">
        <v>9</v>
      </c>
      <c r="K1" t="s">
        <v>10</v>
      </c>
      <c r="L1" t="s">
        <v>11</v>
      </c>
      <c r="M1" t="s">
        <v>41</v>
      </c>
      <c r="N1" t="s">
        <v>12</v>
      </c>
    </row>
    <row r="2" spans="1:18" x14ac:dyDescent="0.3">
      <c r="A2">
        <v>12496</v>
      </c>
      <c r="B2" t="s">
        <v>37</v>
      </c>
      <c r="C2" t="s">
        <v>40</v>
      </c>
      <c r="D2" s="3">
        <v>40000</v>
      </c>
      <c r="E2">
        <v>1</v>
      </c>
      <c r="F2" t="s">
        <v>13</v>
      </c>
      <c r="G2" t="s">
        <v>14</v>
      </c>
      <c r="H2" t="s">
        <v>15</v>
      </c>
      <c r="I2">
        <v>0</v>
      </c>
      <c r="J2" t="s">
        <v>16</v>
      </c>
      <c r="K2" t="s">
        <v>17</v>
      </c>
      <c r="L2">
        <v>42</v>
      </c>
      <c r="M2" t="str">
        <f>_xlfn.IFS(L2&gt;54,"old",L2&gt;=31,"middle age",L2&lt;31,"adolescent")</f>
        <v>middle age</v>
      </c>
      <c r="N2" t="s">
        <v>18</v>
      </c>
      <c r="P2" s="7" t="s">
        <v>51</v>
      </c>
      <c r="Q2" s="7"/>
      <c r="R2" s="7"/>
    </row>
    <row r="3" spans="1:18" x14ac:dyDescent="0.3">
      <c r="A3">
        <v>24107</v>
      </c>
      <c r="B3" t="s">
        <v>37</v>
      </c>
      <c r="C3" t="s">
        <v>39</v>
      </c>
      <c r="D3" s="3">
        <v>30000</v>
      </c>
      <c r="E3">
        <v>3</v>
      </c>
      <c r="F3" t="s">
        <v>19</v>
      </c>
      <c r="G3" t="s">
        <v>20</v>
      </c>
      <c r="H3" t="s">
        <v>15</v>
      </c>
      <c r="I3">
        <v>1</v>
      </c>
      <c r="J3" t="s">
        <v>16</v>
      </c>
      <c r="K3" t="s">
        <v>17</v>
      </c>
      <c r="L3">
        <v>43</v>
      </c>
      <c r="M3" t="str">
        <f t="shared" ref="M3:M66" si="0">_xlfn.IFS(L3&gt;54,"old",L3&gt;=31,"middle age",L3&lt;31,"adolescent")</f>
        <v>middle age</v>
      </c>
      <c r="N3" t="s">
        <v>18</v>
      </c>
      <c r="P3" s="7" t="s">
        <v>36</v>
      </c>
      <c r="Q3" s="7"/>
      <c r="R3" s="7"/>
    </row>
    <row r="4" spans="1:18" x14ac:dyDescent="0.3">
      <c r="A4">
        <v>14177</v>
      </c>
      <c r="B4" t="s">
        <v>37</v>
      </c>
      <c r="C4" t="s">
        <v>39</v>
      </c>
      <c r="D4" s="3">
        <v>80000</v>
      </c>
      <c r="E4">
        <v>5</v>
      </c>
      <c r="F4" t="s">
        <v>19</v>
      </c>
      <c r="G4" t="s">
        <v>21</v>
      </c>
      <c r="H4" t="s">
        <v>18</v>
      </c>
      <c r="I4">
        <v>2</v>
      </c>
      <c r="J4" t="s">
        <v>22</v>
      </c>
      <c r="K4" t="s">
        <v>17</v>
      </c>
      <c r="L4">
        <v>60</v>
      </c>
      <c r="M4" t="str">
        <f t="shared" si="0"/>
        <v>old</v>
      </c>
      <c r="N4" t="s">
        <v>18</v>
      </c>
      <c r="P4" s="7" t="s">
        <v>52</v>
      </c>
      <c r="Q4" s="7"/>
      <c r="R4" s="7"/>
    </row>
    <row r="5" spans="1:18" x14ac:dyDescent="0.3">
      <c r="A5">
        <v>24381</v>
      </c>
      <c r="B5" t="s">
        <v>38</v>
      </c>
      <c r="C5" t="s">
        <v>39</v>
      </c>
      <c r="D5" s="3">
        <v>70000</v>
      </c>
      <c r="E5">
        <v>0</v>
      </c>
      <c r="F5" t="s">
        <v>13</v>
      </c>
      <c r="G5" t="s">
        <v>21</v>
      </c>
      <c r="H5" t="s">
        <v>15</v>
      </c>
      <c r="I5">
        <v>1</v>
      </c>
      <c r="J5" t="s">
        <v>23</v>
      </c>
      <c r="K5" t="s">
        <v>24</v>
      </c>
      <c r="L5">
        <v>41</v>
      </c>
      <c r="M5" t="str">
        <f t="shared" si="0"/>
        <v>middle age</v>
      </c>
      <c r="N5" t="s">
        <v>15</v>
      </c>
      <c r="P5" s="7" t="s">
        <v>53</v>
      </c>
      <c r="Q5" s="7"/>
      <c r="R5" s="7"/>
    </row>
    <row r="6" spans="1:18" x14ac:dyDescent="0.3">
      <c r="A6">
        <v>25597</v>
      </c>
      <c r="B6" t="s">
        <v>38</v>
      </c>
      <c r="C6" t="s">
        <v>39</v>
      </c>
      <c r="D6" s="3">
        <v>30000</v>
      </c>
      <c r="E6">
        <v>0</v>
      </c>
      <c r="F6" t="s">
        <v>13</v>
      </c>
      <c r="G6" t="s">
        <v>20</v>
      </c>
      <c r="H6" t="s">
        <v>18</v>
      </c>
      <c r="I6">
        <v>0</v>
      </c>
      <c r="J6" t="s">
        <v>16</v>
      </c>
      <c r="K6" t="s">
        <v>17</v>
      </c>
      <c r="L6">
        <v>36</v>
      </c>
      <c r="M6" t="str">
        <f t="shared" si="0"/>
        <v>middle age</v>
      </c>
      <c r="N6" t="s">
        <v>15</v>
      </c>
    </row>
    <row r="7" spans="1:18" x14ac:dyDescent="0.3">
      <c r="A7">
        <v>13507</v>
      </c>
      <c r="B7" t="s">
        <v>37</v>
      </c>
      <c r="C7" t="s">
        <v>40</v>
      </c>
      <c r="D7" s="3">
        <v>10000</v>
      </c>
      <c r="E7">
        <v>2</v>
      </c>
      <c r="F7" t="s">
        <v>19</v>
      </c>
      <c r="G7" t="s">
        <v>25</v>
      </c>
      <c r="H7" t="s">
        <v>15</v>
      </c>
      <c r="I7">
        <v>0</v>
      </c>
      <c r="J7" t="s">
        <v>26</v>
      </c>
      <c r="K7" t="s">
        <v>17</v>
      </c>
      <c r="L7">
        <v>50</v>
      </c>
      <c r="M7" t="str">
        <f t="shared" si="0"/>
        <v>middle age</v>
      </c>
      <c r="N7" t="s">
        <v>18</v>
      </c>
    </row>
    <row r="8" spans="1:18" x14ac:dyDescent="0.3">
      <c r="A8">
        <v>27974</v>
      </c>
      <c r="B8" t="s">
        <v>38</v>
      </c>
      <c r="C8" t="s">
        <v>39</v>
      </c>
      <c r="D8" s="3">
        <v>160000</v>
      </c>
      <c r="E8">
        <v>2</v>
      </c>
      <c r="F8" t="s">
        <v>27</v>
      </c>
      <c r="G8" t="s">
        <v>28</v>
      </c>
      <c r="H8" t="s">
        <v>15</v>
      </c>
      <c r="I8">
        <v>4</v>
      </c>
      <c r="J8" t="s">
        <v>16</v>
      </c>
      <c r="K8" t="s">
        <v>24</v>
      </c>
      <c r="L8">
        <v>33</v>
      </c>
      <c r="M8" t="str">
        <f t="shared" si="0"/>
        <v>middle age</v>
      </c>
      <c r="N8" t="s">
        <v>15</v>
      </c>
    </row>
    <row r="9" spans="1:18" x14ac:dyDescent="0.3">
      <c r="A9">
        <v>19364</v>
      </c>
      <c r="B9" t="s">
        <v>37</v>
      </c>
      <c r="C9" t="s">
        <v>39</v>
      </c>
      <c r="D9" s="3">
        <v>40000</v>
      </c>
      <c r="E9">
        <v>1</v>
      </c>
      <c r="F9" t="s">
        <v>13</v>
      </c>
      <c r="G9" t="s">
        <v>14</v>
      </c>
      <c r="H9" t="s">
        <v>15</v>
      </c>
      <c r="I9">
        <v>0</v>
      </c>
      <c r="J9" t="s">
        <v>16</v>
      </c>
      <c r="K9" t="s">
        <v>17</v>
      </c>
      <c r="L9">
        <v>43</v>
      </c>
      <c r="M9" t="str">
        <f t="shared" si="0"/>
        <v>middle age</v>
      </c>
      <c r="N9" t="s">
        <v>15</v>
      </c>
    </row>
    <row r="10" spans="1:18" x14ac:dyDescent="0.3">
      <c r="A10">
        <v>22155</v>
      </c>
      <c r="B10" t="s">
        <v>37</v>
      </c>
      <c r="C10" t="s">
        <v>39</v>
      </c>
      <c r="D10" s="3">
        <v>20000</v>
      </c>
      <c r="E10">
        <v>2</v>
      </c>
      <c r="F10" t="s">
        <v>29</v>
      </c>
      <c r="G10" t="s">
        <v>20</v>
      </c>
      <c r="H10" t="s">
        <v>15</v>
      </c>
      <c r="I10">
        <v>2</v>
      </c>
      <c r="J10" t="s">
        <v>23</v>
      </c>
      <c r="K10" t="s">
        <v>24</v>
      </c>
      <c r="L10">
        <v>58</v>
      </c>
      <c r="M10" t="str">
        <f t="shared" si="0"/>
        <v>old</v>
      </c>
      <c r="N10" t="s">
        <v>18</v>
      </c>
    </row>
    <row r="11" spans="1:18" x14ac:dyDescent="0.3">
      <c r="A11">
        <v>19280</v>
      </c>
      <c r="B11" t="s">
        <v>37</v>
      </c>
      <c r="C11" t="s">
        <v>39</v>
      </c>
      <c r="D11" s="3">
        <v>120000</v>
      </c>
      <c r="E11">
        <v>2</v>
      </c>
      <c r="F11" t="s">
        <v>19</v>
      </c>
      <c r="G11" t="s">
        <v>25</v>
      </c>
      <c r="H11" t="s">
        <v>15</v>
      </c>
      <c r="I11">
        <v>1</v>
      </c>
      <c r="J11" t="s">
        <v>16</v>
      </c>
      <c r="K11" t="s">
        <v>17</v>
      </c>
      <c r="L11">
        <v>40</v>
      </c>
      <c r="M11" t="str">
        <f t="shared" si="0"/>
        <v>middle age</v>
      </c>
      <c r="N11" t="s">
        <v>15</v>
      </c>
    </row>
    <row r="12" spans="1:18" x14ac:dyDescent="0.3">
      <c r="A12">
        <v>22173</v>
      </c>
      <c r="B12" t="s">
        <v>37</v>
      </c>
      <c r="C12" t="s">
        <v>40</v>
      </c>
      <c r="D12" s="3">
        <v>30000</v>
      </c>
      <c r="E12">
        <v>3</v>
      </c>
      <c r="F12" t="s">
        <v>27</v>
      </c>
      <c r="G12" t="s">
        <v>14</v>
      </c>
      <c r="H12" t="s">
        <v>18</v>
      </c>
      <c r="I12">
        <v>2</v>
      </c>
      <c r="J12" t="s">
        <v>26</v>
      </c>
      <c r="K12" t="s">
        <v>24</v>
      </c>
      <c r="L12">
        <v>54</v>
      </c>
      <c r="M12" t="str">
        <f t="shared" si="0"/>
        <v>middle age</v>
      </c>
      <c r="N12" t="s">
        <v>15</v>
      </c>
    </row>
    <row r="13" spans="1:18" x14ac:dyDescent="0.3">
      <c r="A13">
        <v>12697</v>
      </c>
      <c r="B13" t="s">
        <v>38</v>
      </c>
      <c r="C13" t="s">
        <v>40</v>
      </c>
      <c r="D13" s="3">
        <v>90000</v>
      </c>
      <c r="E13">
        <v>0</v>
      </c>
      <c r="F13" t="s">
        <v>13</v>
      </c>
      <c r="G13" t="s">
        <v>21</v>
      </c>
      <c r="H13" t="s">
        <v>18</v>
      </c>
      <c r="I13">
        <v>4</v>
      </c>
      <c r="J13" t="s">
        <v>30</v>
      </c>
      <c r="K13" t="s">
        <v>24</v>
      </c>
      <c r="L13">
        <v>36</v>
      </c>
      <c r="M13" t="str">
        <f t="shared" si="0"/>
        <v>middle age</v>
      </c>
      <c r="N13" t="s">
        <v>18</v>
      </c>
    </row>
    <row r="14" spans="1:18" x14ac:dyDescent="0.3">
      <c r="A14">
        <v>11434</v>
      </c>
      <c r="B14" t="s">
        <v>37</v>
      </c>
      <c r="C14" t="s">
        <v>39</v>
      </c>
      <c r="D14" s="3">
        <v>170000</v>
      </c>
      <c r="E14">
        <v>5</v>
      </c>
      <c r="F14" t="s">
        <v>19</v>
      </c>
      <c r="G14" t="s">
        <v>21</v>
      </c>
      <c r="H14" t="s">
        <v>15</v>
      </c>
      <c r="I14">
        <v>0</v>
      </c>
      <c r="J14" t="s">
        <v>16</v>
      </c>
      <c r="K14" t="s">
        <v>17</v>
      </c>
      <c r="L14">
        <v>55</v>
      </c>
      <c r="M14" t="str">
        <f t="shared" si="0"/>
        <v>old</v>
      </c>
      <c r="N14" t="s">
        <v>18</v>
      </c>
    </row>
    <row r="15" spans="1:18" x14ac:dyDescent="0.3">
      <c r="A15">
        <v>25323</v>
      </c>
      <c r="B15" t="s">
        <v>37</v>
      </c>
      <c r="C15" t="s">
        <v>39</v>
      </c>
      <c r="D15" s="3">
        <v>40000</v>
      </c>
      <c r="E15">
        <v>2</v>
      </c>
      <c r="F15" t="s">
        <v>19</v>
      </c>
      <c r="G15" t="s">
        <v>20</v>
      </c>
      <c r="H15" t="s">
        <v>15</v>
      </c>
      <c r="I15">
        <v>1</v>
      </c>
      <c r="J15" t="s">
        <v>26</v>
      </c>
      <c r="K15" t="s">
        <v>17</v>
      </c>
      <c r="L15">
        <v>35</v>
      </c>
      <c r="M15" t="str">
        <f t="shared" si="0"/>
        <v>middle age</v>
      </c>
      <c r="N15" t="s">
        <v>15</v>
      </c>
    </row>
    <row r="16" spans="1:18" x14ac:dyDescent="0.3">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38</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37</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38</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37</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38</v>
      </c>
      <c r="C23" t="s">
        <v>40</v>
      </c>
      <c r="D23" s="3">
        <v>80000</v>
      </c>
      <c r="E23">
        <v>0</v>
      </c>
      <c r="F23" t="s">
        <v>13</v>
      </c>
      <c r="G23" t="s">
        <v>21</v>
      </c>
      <c r="H23" t="s">
        <v>15</v>
      </c>
      <c r="I23">
        <v>4</v>
      </c>
      <c r="J23" t="s">
        <v>30</v>
      </c>
      <c r="K23" t="s">
        <v>24</v>
      </c>
      <c r="L23">
        <v>35</v>
      </c>
      <c r="M23" t="str">
        <f t="shared" si="0"/>
        <v>middle age</v>
      </c>
      <c r="N23" t="s">
        <v>18</v>
      </c>
    </row>
    <row r="24" spans="1:14" x14ac:dyDescent="0.3">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37</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38</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38</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37</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37</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38</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37</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38</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38</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38</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37</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37</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37</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37</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37</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38</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38</v>
      </c>
      <c r="C53" t="s">
        <v>39</v>
      </c>
      <c r="D53" s="3">
        <v>80000</v>
      </c>
      <c r="E53">
        <v>0</v>
      </c>
      <c r="F53" t="s">
        <v>13</v>
      </c>
      <c r="G53" t="s">
        <v>21</v>
      </c>
      <c r="H53" t="s">
        <v>18</v>
      </c>
      <c r="I53">
        <v>4</v>
      </c>
      <c r="J53" t="s">
        <v>30</v>
      </c>
      <c r="K53" t="s">
        <v>24</v>
      </c>
      <c r="L53">
        <v>35</v>
      </c>
      <c r="M53" t="str">
        <f t="shared" si="0"/>
        <v>middle age</v>
      </c>
      <c r="N53" t="s">
        <v>18</v>
      </c>
    </row>
    <row r="54" spans="1:14" x14ac:dyDescent="0.3">
      <c r="A54">
        <v>12558</v>
      </c>
      <c r="B54" t="s">
        <v>37</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38</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37</v>
      </c>
      <c r="C57" t="s">
        <v>39</v>
      </c>
      <c r="D57" s="3">
        <v>80000</v>
      </c>
      <c r="E57">
        <v>4</v>
      </c>
      <c r="F57" t="s">
        <v>27</v>
      </c>
      <c r="G57" t="s">
        <v>21</v>
      </c>
      <c r="H57" t="s">
        <v>15</v>
      </c>
      <c r="I57">
        <v>2</v>
      </c>
      <c r="J57" t="s">
        <v>30</v>
      </c>
      <c r="K57" t="s">
        <v>17</v>
      </c>
      <c r="L57">
        <v>54</v>
      </c>
      <c r="M57" t="str">
        <f t="shared" si="0"/>
        <v>middle age</v>
      </c>
      <c r="N57" t="s">
        <v>18</v>
      </c>
    </row>
    <row r="58" spans="1:14" x14ac:dyDescent="0.3">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37</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37</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38</v>
      </c>
      <c r="C65" t="s">
        <v>39</v>
      </c>
      <c r="D65" s="3">
        <v>60000</v>
      </c>
      <c r="E65">
        <v>4</v>
      </c>
      <c r="F65" t="s">
        <v>13</v>
      </c>
      <c r="G65" t="s">
        <v>21</v>
      </c>
      <c r="H65" t="s">
        <v>15</v>
      </c>
      <c r="I65">
        <v>3</v>
      </c>
      <c r="J65" t="s">
        <v>30</v>
      </c>
      <c r="K65" t="s">
        <v>24</v>
      </c>
      <c r="L65">
        <v>41</v>
      </c>
      <c r="M65" t="str">
        <f t="shared" si="0"/>
        <v>middle age</v>
      </c>
      <c r="N65" t="s">
        <v>18</v>
      </c>
    </row>
    <row r="66" spans="1:14" x14ac:dyDescent="0.3">
      <c r="A66">
        <v>14927</v>
      </c>
      <c r="B66" t="s">
        <v>37</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38</v>
      </c>
      <c r="C67" t="s">
        <v>39</v>
      </c>
      <c r="D67" s="3">
        <v>30000</v>
      </c>
      <c r="E67">
        <v>2</v>
      </c>
      <c r="F67" t="s">
        <v>19</v>
      </c>
      <c r="G67" t="s">
        <v>20</v>
      </c>
      <c r="H67" t="s">
        <v>15</v>
      </c>
      <c r="I67">
        <v>2</v>
      </c>
      <c r="J67" t="s">
        <v>23</v>
      </c>
      <c r="K67" t="s">
        <v>24</v>
      </c>
      <c r="L67">
        <v>68</v>
      </c>
      <c r="M67" t="str">
        <f t="shared" ref="M67:M130" si="1">_xlfn.IFS(L67&gt;54,"old",L67&gt;=31,"middle age",L67&lt;31,"adolescent")</f>
        <v>old</v>
      </c>
      <c r="N67" t="s">
        <v>18</v>
      </c>
    </row>
    <row r="68" spans="1:14" x14ac:dyDescent="0.3">
      <c r="A68">
        <v>29355</v>
      </c>
      <c r="B68" t="s">
        <v>37</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37</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37</v>
      </c>
      <c r="C72" t="s">
        <v>39</v>
      </c>
      <c r="D72" s="3">
        <v>120000</v>
      </c>
      <c r="E72">
        <v>0</v>
      </c>
      <c r="F72" t="s">
        <v>29</v>
      </c>
      <c r="G72" t="s">
        <v>21</v>
      </c>
      <c r="H72" t="s">
        <v>15</v>
      </c>
      <c r="I72">
        <v>4</v>
      </c>
      <c r="J72" t="s">
        <v>30</v>
      </c>
      <c r="K72" t="s">
        <v>24</v>
      </c>
      <c r="L72">
        <v>36</v>
      </c>
      <c r="M72" t="str">
        <f t="shared" si="1"/>
        <v>middle age</v>
      </c>
      <c r="N72" t="s">
        <v>15</v>
      </c>
    </row>
    <row r="73" spans="1:14" x14ac:dyDescent="0.3">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37</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37</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
      <c r="A78">
        <v>16188</v>
      </c>
      <c r="B78" t="s">
        <v>38</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37</v>
      </c>
      <c r="C79" t="s">
        <v>39</v>
      </c>
      <c r="D79" s="3">
        <v>80000</v>
      </c>
      <c r="E79">
        <v>0</v>
      </c>
      <c r="F79" t="s">
        <v>13</v>
      </c>
      <c r="G79" t="s">
        <v>21</v>
      </c>
      <c r="H79" t="s">
        <v>15</v>
      </c>
      <c r="I79">
        <v>2</v>
      </c>
      <c r="J79" t="s">
        <v>30</v>
      </c>
      <c r="K79" t="s">
        <v>24</v>
      </c>
      <c r="L79">
        <v>29</v>
      </c>
      <c r="M79" t="str">
        <f t="shared" si="1"/>
        <v>adolescent</v>
      </c>
      <c r="N79" t="s">
        <v>15</v>
      </c>
    </row>
    <row r="80" spans="1:14" x14ac:dyDescent="0.3">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38</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37</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38</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38</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38</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38</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38</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38</v>
      </c>
      <c r="C96" t="s">
        <v>40</v>
      </c>
      <c r="D96" s="3">
        <v>30000</v>
      </c>
      <c r="E96">
        <v>3</v>
      </c>
      <c r="F96" t="s">
        <v>27</v>
      </c>
      <c r="G96" t="s">
        <v>14</v>
      </c>
      <c r="H96" t="s">
        <v>15</v>
      </c>
      <c r="I96">
        <v>2</v>
      </c>
      <c r="J96" t="s">
        <v>23</v>
      </c>
      <c r="K96" t="s">
        <v>24</v>
      </c>
      <c r="L96">
        <v>55</v>
      </c>
      <c r="M96" t="str">
        <f t="shared" si="1"/>
        <v>old</v>
      </c>
      <c r="N96" t="s">
        <v>18</v>
      </c>
    </row>
    <row r="97" spans="1:14" x14ac:dyDescent="0.3">
      <c r="A97">
        <v>17197</v>
      </c>
      <c r="B97" t="s">
        <v>38</v>
      </c>
      <c r="C97" t="s">
        <v>40</v>
      </c>
      <c r="D97" s="3">
        <v>90000</v>
      </c>
      <c r="E97">
        <v>5</v>
      </c>
      <c r="F97" t="s">
        <v>19</v>
      </c>
      <c r="G97" t="s">
        <v>21</v>
      </c>
      <c r="H97" t="s">
        <v>15</v>
      </c>
      <c r="I97">
        <v>2</v>
      </c>
      <c r="J97" t="s">
        <v>30</v>
      </c>
      <c r="K97" t="s">
        <v>17</v>
      </c>
      <c r="L97">
        <v>62</v>
      </c>
      <c r="M97" t="str">
        <f t="shared" si="1"/>
        <v>old</v>
      </c>
      <c r="N97" t="s">
        <v>18</v>
      </c>
    </row>
    <row r="98" spans="1:14" x14ac:dyDescent="0.3">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40</v>
      </c>
      <c r="D124" s="3">
        <v>80000</v>
      </c>
      <c r="E124">
        <v>0</v>
      </c>
      <c r="F124" t="s">
        <v>13</v>
      </c>
      <c r="G124" t="s">
        <v>21</v>
      </c>
      <c r="H124" t="s">
        <v>18</v>
      </c>
      <c r="I124">
        <v>3</v>
      </c>
      <c r="J124" t="s">
        <v>30</v>
      </c>
      <c r="K124" t="s">
        <v>24</v>
      </c>
      <c r="L124">
        <v>31</v>
      </c>
      <c r="M124" t="str">
        <f t="shared" si="1"/>
        <v>middle age</v>
      </c>
      <c r="N124" t="s">
        <v>18</v>
      </c>
    </row>
    <row r="125" spans="1:14" x14ac:dyDescent="0.3">
      <c r="A125">
        <v>23627</v>
      </c>
      <c r="B125" t="s">
        <v>38</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39</v>
      </c>
      <c r="D131" s="3">
        <v>10000</v>
      </c>
      <c r="E131">
        <v>3</v>
      </c>
      <c r="F131" t="s">
        <v>27</v>
      </c>
      <c r="G131" t="s">
        <v>25</v>
      </c>
      <c r="H131" t="s">
        <v>15</v>
      </c>
      <c r="I131">
        <v>1</v>
      </c>
      <c r="J131" t="s">
        <v>16</v>
      </c>
      <c r="K131" t="s">
        <v>17</v>
      </c>
      <c r="L131">
        <v>39</v>
      </c>
      <c r="M131" t="str">
        <f t="shared" ref="M131:M194" si="2">_xlfn.IFS(L131&gt;54,"old",L131&gt;=31,"middle age",L131&lt;31,"adolescent")</f>
        <v>middle age</v>
      </c>
      <c r="N131" t="s">
        <v>15</v>
      </c>
    </row>
    <row r="132" spans="1:14" x14ac:dyDescent="0.3">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40</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40</v>
      </c>
      <c r="D145" s="3">
        <v>80000</v>
      </c>
      <c r="E145">
        <v>0</v>
      </c>
      <c r="F145" t="s">
        <v>13</v>
      </c>
      <c r="G145" t="s">
        <v>21</v>
      </c>
      <c r="H145" t="s">
        <v>15</v>
      </c>
      <c r="I145">
        <v>3</v>
      </c>
      <c r="J145" t="s">
        <v>30</v>
      </c>
      <c r="K145" t="s">
        <v>24</v>
      </c>
      <c r="L145">
        <v>32</v>
      </c>
      <c r="M145" t="str">
        <f t="shared" si="2"/>
        <v>middle age</v>
      </c>
      <c r="N145" t="s">
        <v>18</v>
      </c>
    </row>
    <row r="146" spans="1:14" x14ac:dyDescent="0.3">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39</v>
      </c>
      <c r="D169" s="3">
        <v>100000</v>
      </c>
      <c r="E169">
        <v>0</v>
      </c>
      <c r="F169" t="s">
        <v>27</v>
      </c>
      <c r="G169" t="s">
        <v>28</v>
      </c>
      <c r="H169" t="s">
        <v>15</v>
      </c>
      <c r="I169">
        <v>3</v>
      </c>
      <c r="J169" t="s">
        <v>30</v>
      </c>
      <c r="K169" t="s">
        <v>24</v>
      </c>
      <c r="L169">
        <v>35</v>
      </c>
      <c r="M169" t="str">
        <f t="shared" si="2"/>
        <v>middle age</v>
      </c>
      <c r="N169" t="s">
        <v>18</v>
      </c>
    </row>
    <row r="170" spans="1:14" x14ac:dyDescent="0.3">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39</v>
      </c>
      <c r="D180" s="3">
        <v>160000</v>
      </c>
      <c r="E180">
        <v>4</v>
      </c>
      <c r="F180" t="s">
        <v>19</v>
      </c>
      <c r="G180" t="s">
        <v>21</v>
      </c>
      <c r="H180" t="s">
        <v>18</v>
      </c>
      <c r="I180">
        <v>2</v>
      </c>
      <c r="J180" t="s">
        <v>30</v>
      </c>
      <c r="K180" t="s">
        <v>17</v>
      </c>
      <c r="L180">
        <v>55</v>
      </c>
      <c r="M180" t="str">
        <f t="shared" si="2"/>
        <v>old</v>
      </c>
      <c r="N180" t="s">
        <v>15</v>
      </c>
    </row>
    <row r="181" spans="1:14" x14ac:dyDescent="0.3">
      <c r="A181">
        <v>12212</v>
      </c>
      <c r="B181" t="s">
        <v>37</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40</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37</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40</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37</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39</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37</v>
      </c>
      <c r="C190" t="s">
        <v>40</v>
      </c>
      <c r="D190" s="3">
        <v>70000</v>
      </c>
      <c r="E190">
        <v>0</v>
      </c>
      <c r="F190" t="s">
        <v>13</v>
      </c>
      <c r="G190" t="s">
        <v>21</v>
      </c>
      <c r="H190" t="s">
        <v>15</v>
      </c>
      <c r="I190">
        <v>4</v>
      </c>
      <c r="J190" t="s">
        <v>30</v>
      </c>
      <c r="K190" t="s">
        <v>24</v>
      </c>
      <c r="L190">
        <v>32</v>
      </c>
      <c r="M190" t="str">
        <f t="shared" si="2"/>
        <v>middle age</v>
      </c>
      <c r="N190" t="s">
        <v>15</v>
      </c>
    </row>
    <row r="191" spans="1:14" x14ac:dyDescent="0.3">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40</v>
      </c>
      <c r="D194" s="3">
        <v>80000</v>
      </c>
      <c r="E194">
        <v>5</v>
      </c>
      <c r="F194" t="s">
        <v>13</v>
      </c>
      <c r="G194" t="s">
        <v>28</v>
      </c>
      <c r="H194" t="s">
        <v>15</v>
      </c>
      <c r="I194">
        <v>2</v>
      </c>
      <c r="J194" t="s">
        <v>30</v>
      </c>
      <c r="K194" t="s">
        <v>17</v>
      </c>
      <c r="L194">
        <v>62</v>
      </c>
      <c r="M194" t="str">
        <f t="shared" si="2"/>
        <v>old</v>
      </c>
      <c r="N194" t="s">
        <v>18</v>
      </c>
    </row>
    <row r="195" spans="1:14" x14ac:dyDescent="0.3">
      <c r="A195">
        <v>26032</v>
      </c>
      <c r="B195" t="s">
        <v>37</v>
      </c>
      <c r="C195" t="s">
        <v>40</v>
      </c>
      <c r="D195" s="3">
        <v>70000</v>
      </c>
      <c r="E195">
        <v>5</v>
      </c>
      <c r="F195" t="s">
        <v>13</v>
      </c>
      <c r="G195" t="s">
        <v>21</v>
      </c>
      <c r="H195" t="s">
        <v>15</v>
      </c>
      <c r="I195">
        <v>4</v>
      </c>
      <c r="J195" t="s">
        <v>30</v>
      </c>
      <c r="K195" t="s">
        <v>24</v>
      </c>
      <c r="L195">
        <v>41</v>
      </c>
      <c r="M195" t="str">
        <f t="shared" ref="M195:M258" si="3">_xlfn.IFS(L195&gt;54,"old",L195&gt;=31,"middle age",L195&lt;31,"adolescent")</f>
        <v>middle age</v>
      </c>
      <c r="N195" t="s">
        <v>18</v>
      </c>
    </row>
    <row r="196" spans="1:14" x14ac:dyDescent="0.3">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39</v>
      </c>
      <c r="D201" s="3">
        <v>80000</v>
      </c>
      <c r="E201">
        <v>0</v>
      </c>
      <c r="F201" t="s">
        <v>13</v>
      </c>
      <c r="G201" t="s">
        <v>21</v>
      </c>
      <c r="H201" t="s">
        <v>18</v>
      </c>
      <c r="I201">
        <v>3</v>
      </c>
      <c r="J201" t="s">
        <v>30</v>
      </c>
      <c r="K201" t="s">
        <v>24</v>
      </c>
      <c r="L201">
        <v>33</v>
      </c>
      <c r="M201" t="str">
        <f t="shared" si="3"/>
        <v>middle age</v>
      </c>
      <c r="N201" t="s">
        <v>15</v>
      </c>
    </row>
    <row r="202" spans="1:14" x14ac:dyDescent="0.3">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39</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38</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39</v>
      </c>
      <c r="D215" s="3">
        <v>70000</v>
      </c>
      <c r="E215">
        <v>0</v>
      </c>
      <c r="F215" t="s">
        <v>13</v>
      </c>
      <c r="G215" t="s">
        <v>21</v>
      </c>
      <c r="H215" t="s">
        <v>18</v>
      </c>
      <c r="I215">
        <v>4</v>
      </c>
      <c r="J215" t="s">
        <v>30</v>
      </c>
      <c r="K215" t="s">
        <v>24</v>
      </c>
      <c r="L215">
        <v>31</v>
      </c>
      <c r="M215" t="str">
        <f t="shared" si="3"/>
        <v>middle age</v>
      </c>
      <c r="N215" t="s">
        <v>15</v>
      </c>
    </row>
    <row r="216" spans="1:14" x14ac:dyDescent="0.3">
      <c r="A216">
        <v>25553</v>
      </c>
      <c r="B216" t="s">
        <v>37</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40</v>
      </c>
      <c r="D225" s="3">
        <v>70000</v>
      </c>
      <c r="E225">
        <v>5</v>
      </c>
      <c r="F225" t="s">
        <v>13</v>
      </c>
      <c r="G225" t="s">
        <v>21</v>
      </c>
      <c r="H225" t="s">
        <v>15</v>
      </c>
      <c r="I225">
        <v>4</v>
      </c>
      <c r="J225" t="s">
        <v>30</v>
      </c>
      <c r="K225" t="s">
        <v>24</v>
      </c>
      <c r="L225">
        <v>39</v>
      </c>
      <c r="M225" t="str">
        <f t="shared" si="3"/>
        <v>middle age</v>
      </c>
      <c r="N225" t="s">
        <v>18</v>
      </c>
    </row>
    <row r="226" spans="1:14" x14ac:dyDescent="0.3">
      <c r="A226">
        <v>19650</v>
      </c>
      <c r="B226" t="s">
        <v>37</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39</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37</v>
      </c>
      <c r="C232" t="s">
        <v>39</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37</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39</v>
      </c>
      <c r="D236" s="3">
        <v>90000</v>
      </c>
      <c r="E236">
        <v>0</v>
      </c>
      <c r="F236" t="s">
        <v>13</v>
      </c>
      <c r="G236" t="s">
        <v>21</v>
      </c>
      <c r="H236" t="s">
        <v>18</v>
      </c>
      <c r="I236">
        <v>4</v>
      </c>
      <c r="J236" t="s">
        <v>30</v>
      </c>
      <c r="K236" t="s">
        <v>24</v>
      </c>
      <c r="L236">
        <v>35</v>
      </c>
      <c r="M236" t="str">
        <f t="shared" si="3"/>
        <v>middle age</v>
      </c>
      <c r="N236" t="s">
        <v>15</v>
      </c>
    </row>
    <row r="237" spans="1:14" x14ac:dyDescent="0.3">
      <c r="A237">
        <v>11340</v>
      </c>
      <c r="B237" t="s">
        <v>37</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40</v>
      </c>
      <c r="D246" s="3">
        <v>120000</v>
      </c>
      <c r="E246">
        <v>3</v>
      </c>
      <c r="F246" t="s">
        <v>13</v>
      </c>
      <c r="G246" t="s">
        <v>28</v>
      </c>
      <c r="H246" t="s">
        <v>18</v>
      </c>
      <c r="I246">
        <v>2</v>
      </c>
      <c r="J246" t="s">
        <v>30</v>
      </c>
      <c r="K246" t="s">
        <v>17</v>
      </c>
      <c r="L246">
        <v>52</v>
      </c>
      <c r="M246" t="str">
        <f t="shared" si="3"/>
        <v>middle age</v>
      </c>
      <c r="N246" t="s">
        <v>15</v>
      </c>
    </row>
    <row r="247" spans="1:14" x14ac:dyDescent="0.3">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40</v>
      </c>
      <c r="D249" s="3">
        <v>100000</v>
      </c>
      <c r="E249">
        <v>0</v>
      </c>
      <c r="F249" t="s">
        <v>27</v>
      </c>
      <c r="G249" t="s">
        <v>28</v>
      </c>
      <c r="H249" t="s">
        <v>15</v>
      </c>
      <c r="I249">
        <v>4</v>
      </c>
      <c r="J249" t="s">
        <v>30</v>
      </c>
      <c r="K249" t="s">
        <v>24</v>
      </c>
      <c r="L249">
        <v>34</v>
      </c>
      <c r="M249" t="str">
        <f t="shared" si="3"/>
        <v>middle age</v>
      </c>
      <c r="N249" t="s">
        <v>15</v>
      </c>
    </row>
    <row r="250" spans="1:14" x14ac:dyDescent="0.3">
      <c r="A250">
        <v>13981</v>
      </c>
      <c r="B250" t="s">
        <v>37</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39</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38</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40</v>
      </c>
      <c r="D259" s="3">
        <v>50000</v>
      </c>
      <c r="E259">
        <v>0</v>
      </c>
      <c r="F259" t="s">
        <v>31</v>
      </c>
      <c r="G259" t="s">
        <v>14</v>
      </c>
      <c r="H259" t="s">
        <v>15</v>
      </c>
      <c r="I259">
        <v>0</v>
      </c>
      <c r="J259" t="s">
        <v>16</v>
      </c>
      <c r="K259" t="s">
        <v>17</v>
      </c>
      <c r="L259">
        <v>36</v>
      </c>
      <c r="M259" t="str">
        <f t="shared" ref="M259:M322" si="4">_xlfn.IFS(L259&gt;54,"old",L259&gt;=31,"middle age",L259&lt;31,"adolescent")</f>
        <v>middle age</v>
      </c>
      <c r="N259" t="s">
        <v>15</v>
      </c>
    </row>
    <row r="260" spans="1:14" x14ac:dyDescent="0.3">
      <c r="A260">
        <v>14193</v>
      </c>
      <c r="B260" t="s">
        <v>38</v>
      </c>
      <c r="C260" t="s">
        <v>40</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40</v>
      </c>
      <c r="D265" s="3">
        <v>70000</v>
      </c>
      <c r="E265">
        <v>5</v>
      </c>
      <c r="F265" t="s">
        <v>13</v>
      </c>
      <c r="G265" t="s">
        <v>21</v>
      </c>
      <c r="H265" t="s">
        <v>15</v>
      </c>
      <c r="I265">
        <v>3</v>
      </c>
      <c r="J265" t="s">
        <v>30</v>
      </c>
      <c r="K265" t="s">
        <v>24</v>
      </c>
      <c r="L265">
        <v>39</v>
      </c>
      <c r="M265" t="str">
        <f t="shared" si="4"/>
        <v>middle age</v>
      </c>
      <c r="N265" t="s">
        <v>18</v>
      </c>
    </row>
    <row r="266" spans="1:14" x14ac:dyDescent="0.3">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39</v>
      </c>
      <c r="D280" s="3">
        <v>100000</v>
      </c>
      <c r="E280">
        <v>0</v>
      </c>
      <c r="F280" t="s">
        <v>27</v>
      </c>
      <c r="G280" t="s">
        <v>28</v>
      </c>
      <c r="H280" t="s">
        <v>15</v>
      </c>
      <c r="I280">
        <v>3</v>
      </c>
      <c r="J280" t="s">
        <v>30</v>
      </c>
      <c r="K280" t="s">
        <v>24</v>
      </c>
      <c r="L280">
        <v>35</v>
      </c>
      <c r="M280" t="str">
        <f t="shared" si="4"/>
        <v>middle age</v>
      </c>
      <c r="N280" t="s">
        <v>15</v>
      </c>
    </row>
    <row r="281" spans="1:14" x14ac:dyDescent="0.3">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40</v>
      </c>
      <c r="D297" s="3">
        <v>110000</v>
      </c>
      <c r="E297">
        <v>0</v>
      </c>
      <c r="F297" t="s">
        <v>19</v>
      </c>
      <c r="G297" t="s">
        <v>28</v>
      </c>
      <c r="H297" t="s">
        <v>15</v>
      </c>
      <c r="I297">
        <v>3</v>
      </c>
      <c r="J297" t="s">
        <v>30</v>
      </c>
      <c r="K297" t="s">
        <v>24</v>
      </c>
      <c r="L297">
        <v>32</v>
      </c>
      <c r="M297" t="str">
        <f t="shared" si="4"/>
        <v>middle age</v>
      </c>
      <c r="N297" t="s">
        <v>15</v>
      </c>
    </row>
    <row r="298" spans="1:14" x14ac:dyDescent="0.3">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39</v>
      </c>
      <c r="D320" s="3">
        <v>130000</v>
      </c>
      <c r="E320">
        <v>4</v>
      </c>
      <c r="F320" t="s">
        <v>19</v>
      </c>
      <c r="G320" t="s">
        <v>21</v>
      </c>
      <c r="H320" t="s">
        <v>18</v>
      </c>
      <c r="I320">
        <v>3</v>
      </c>
      <c r="J320" t="s">
        <v>30</v>
      </c>
      <c r="K320" t="s">
        <v>17</v>
      </c>
      <c r="L320">
        <v>54</v>
      </c>
      <c r="M320" t="str">
        <f t="shared" si="4"/>
        <v>middle age</v>
      </c>
      <c r="N320" t="s">
        <v>18</v>
      </c>
    </row>
    <row r="321" spans="1:14" x14ac:dyDescent="0.3">
      <c r="A321">
        <v>11386</v>
      </c>
      <c r="B321" t="s">
        <v>37</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40</v>
      </c>
      <c r="D323" s="3">
        <v>160000</v>
      </c>
      <c r="E323">
        <v>0</v>
      </c>
      <c r="F323" t="s">
        <v>31</v>
      </c>
      <c r="G323" t="s">
        <v>28</v>
      </c>
      <c r="H323" t="s">
        <v>18</v>
      </c>
      <c r="I323">
        <v>3</v>
      </c>
      <c r="J323" t="s">
        <v>16</v>
      </c>
      <c r="K323" t="s">
        <v>24</v>
      </c>
      <c r="L323">
        <v>47</v>
      </c>
      <c r="M323" t="str">
        <f t="shared" ref="M323:M386" si="5">_xlfn.IFS(L323&gt;54,"old",L323&gt;=31,"middle age",L323&lt;31,"adolescent")</f>
        <v>middle age</v>
      </c>
      <c r="N323" t="s">
        <v>15</v>
      </c>
    </row>
    <row r="324" spans="1:14" x14ac:dyDescent="0.3">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40</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38</v>
      </c>
      <c r="C332" t="s">
        <v>40</v>
      </c>
      <c r="D332" s="3">
        <v>80000</v>
      </c>
      <c r="E332">
        <v>0</v>
      </c>
      <c r="F332" t="s">
        <v>13</v>
      </c>
      <c r="G332" t="s">
        <v>21</v>
      </c>
      <c r="H332" t="s">
        <v>15</v>
      </c>
      <c r="I332">
        <v>3</v>
      </c>
      <c r="J332" t="s">
        <v>30</v>
      </c>
      <c r="K332" t="s">
        <v>24</v>
      </c>
      <c r="L332">
        <v>32</v>
      </c>
      <c r="M332" t="str">
        <f t="shared" si="5"/>
        <v>middle age</v>
      </c>
      <c r="N332" t="s">
        <v>18</v>
      </c>
    </row>
    <row r="333" spans="1:14" x14ac:dyDescent="0.3">
      <c r="A333">
        <v>19508</v>
      </c>
      <c r="B333" t="s">
        <v>37</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39</v>
      </c>
      <c r="D357" s="3">
        <v>80000</v>
      </c>
      <c r="E357">
        <v>0</v>
      </c>
      <c r="F357" t="s">
        <v>13</v>
      </c>
      <c r="G357" t="s">
        <v>21</v>
      </c>
      <c r="H357" t="s">
        <v>15</v>
      </c>
      <c r="I357">
        <v>3</v>
      </c>
      <c r="J357" t="s">
        <v>30</v>
      </c>
      <c r="K357" t="s">
        <v>24</v>
      </c>
      <c r="L357">
        <v>32</v>
      </c>
      <c r="M357" t="str">
        <f t="shared" si="5"/>
        <v>middle age</v>
      </c>
      <c r="N357" t="s">
        <v>18</v>
      </c>
    </row>
    <row r="358" spans="1:14" x14ac:dyDescent="0.3">
      <c r="A358">
        <v>23608</v>
      </c>
      <c r="B358" t="s">
        <v>37</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39</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40</v>
      </c>
      <c r="D372" s="3">
        <v>100000</v>
      </c>
      <c r="E372">
        <v>4</v>
      </c>
      <c r="F372" t="s">
        <v>13</v>
      </c>
      <c r="G372" t="s">
        <v>21</v>
      </c>
      <c r="H372" t="s">
        <v>15</v>
      </c>
      <c r="I372">
        <v>1</v>
      </c>
      <c r="J372" t="s">
        <v>30</v>
      </c>
      <c r="K372" t="s">
        <v>24</v>
      </c>
      <c r="L372">
        <v>46</v>
      </c>
      <c r="M372" t="str">
        <f t="shared" si="5"/>
        <v>middle age</v>
      </c>
      <c r="N372" t="s">
        <v>18</v>
      </c>
    </row>
    <row r="373" spans="1:14" x14ac:dyDescent="0.3">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39</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37</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39</v>
      </c>
      <c r="D384" s="3">
        <v>80000</v>
      </c>
      <c r="E384">
        <v>4</v>
      </c>
      <c r="F384" t="s">
        <v>19</v>
      </c>
      <c r="G384" t="s">
        <v>21</v>
      </c>
      <c r="H384" t="s">
        <v>15</v>
      </c>
      <c r="I384">
        <v>2</v>
      </c>
      <c r="J384" t="s">
        <v>30</v>
      </c>
      <c r="K384" t="s">
        <v>17</v>
      </c>
      <c r="L384">
        <v>53</v>
      </c>
      <c r="M384" t="str">
        <f t="shared" si="5"/>
        <v>middle age</v>
      </c>
      <c r="N384" t="s">
        <v>18</v>
      </c>
    </row>
    <row r="385" spans="1:14" x14ac:dyDescent="0.3">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39</v>
      </c>
      <c r="D387" s="3">
        <v>30000</v>
      </c>
      <c r="E387">
        <v>3</v>
      </c>
      <c r="F387" t="s">
        <v>19</v>
      </c>
      <c r="G387" t="s">
        <v>20</v>
      </c>
      <c r="H387" t="s">
        <v>15</v>
      </c>
      <c r="I387">
        <v>0</v>
      </c>
      <c r="J387" t="s">
        <v>16</v>
      </c>
      <c r="K387" t="s">
        <v>17</v>
      </c>
      <c r="L387">
        <v>43</v>
      </c>
      <c r="M387" t="str">
        <f t="shared" ref="M387:M450" si="6">_xlfn.IFS(L387&gt;54,"old",L387&gt;=31,"middle age",L387&lt;31,"adolescent")</f>
        <v>middle age</v>
      </c>
      <c r="N387" t="s">
        <v>18</v>
      </c>
    </row>
    <row r="388" spans="1:14" x14ac:dyDescent="0.3">
      <c r="A388">
        <v>28957</v>
      </c>
      <c r="B388" t="s">
        <v>38</v>
      </c>
      <c r="C388" t="s">
        <v>40</v>
      </c>
      <c r="D388" s="3">
        <v>120000</v>
      </c>
      <c r="E388">
        <v>0</v>
      </c>
      <c r="F388" t="s">
        <v>29</v>
      </c>
      <c r="G388" t="s">
        <v>21</v>
      </c>
      <c r="H388" t="s">
        <v>15</v>
      </c>
      <c r="I388">
        <v>4</v>
      </c>
      <c r="J388" t="s">
        <v>30</v>
      </c>
      <c r="K388" t="s">
        <v>24</v>
      </c>
      <c r="L388">
        <v>34</v>
      </c>
      <c r="M388" t="str">
        <f t="shared" si="6"/>
        <v>middle age</v>
      </c>
      <c r="N388" t="s">
        <v>15</v>
      </c>
    </row>
    <row r="389" spans="1:14" x14ac:dyDescent="0.3">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40</v>
      </c>
      <c r="D402" s="3">
        <v>110000</v>
      </c>
      <c r="E402">
        <v>3</v>
      </c>
      <c r="F402" t="s">
        <v>13</v>
      </c>
      <c r="G402" t="s">
        <v>28</v>
      </c>
      <c r="H402" t="s">
        <v>15</v>
      </c>
      <c r="I402">
        <v>4</v>
      </c>
      <c r="J402" t="s">
        <v>30</v>
      </c>
      <c r="K402" t="s">
        <v>17</v>
      </c>
      <c r="L402">
        <v>53</v>
      </c>
      <c r="M402" t="str">
        <f t="shared" si="6"/>
        <v>middle age</v>
      </c>
      <c r="N402" t="s">
        <v>18</v>
      </c>
    </row>
    <row r="403" spans="1:14" x14ac:dyDescent="0.3">
      <c r="A403">
        <v>11555</v>
      </c>
      <c r="B403" t="s">
        <v>37</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40</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39</v>
      </c>
      <c r="D424" s="3">
        <v>110000</v>
      </c>
      <c r="E424">
        <v>0</v>
      </c>
      <c r="F424" t="s">
        <v>19</v>
      </c>
      <c r="G424" t="s">
        <v>28</v>
      </c>
      <c r="H424" t="s">
        <v>18</v>
      </c>
      <c r="I424">
        <v>3</v>
      </c>
      <c r="J424" t="s">
        <v>30</v>
      </c>
      <c r="K424" t="s">
        <v>24</v>
      </c>
      <c r="L424">
        <v>32</v>
      </c>
      <c r="M424" t="str">
        <f t="shared" si="6"/>
        <v>middle age</v>
      </c>
      <c r="N424" t="s">
        <v>15</v>
      </c>
    </row>
    <row r="425" spans="1:14" x14ac:dyDescent="0.3">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40</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40</v>
      </c>
      <c r="D434" s="3">
        <v>110000</v>
      </c>
      <c r="E434">
        <v>0</v>
      </c>
      <c r="F434" t="s">
        <v>27</v>
      </c>
      <c r="G434" t="s">
        <v>28</v>
      </c>
      <c r="H434" t="s">
        <v>15</v>
      </c>
      <c r="I434">
        <v>3</v>
      </c>
      <c r="J434" t="s">
        <v>30</v>
      </c>
      <c r="K434" t="s">
        <v>24</v>
      </c>
      <c r="L434">
        <v>34</v>
      </c>
      <c r="M434" t="str">
        <f t="shared" si="6"/>
        <v>middle age</v>
      </c>
      <c r="N434" t="s">
        <v>15</v>
      </c>
    </row>
    <row r="435" spans="1:14" x14ac:dyDescent="0.3">
      <c r="A435">
        <v>27814</v>
      </c>
      <c r="B435" t="s">
        <v>38</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39</v>
      </c>
      <c r="D442" s="3">
        <v>90000</v>
      </c>
      <c r="E442">
        <v>0</v>
      </c>
      <c r="F442" t="s">
        <v>13</v>
      </c>
      <c r="G442" t="s">
        <v>21</v>
      </c>
      <c r="H442" t="s">
        <v>18</v>
      </c>
      <c r="I442">
        <v>3</v>
      </c>
      <c r="J442" t="s">
        <v>30</v>
      </c>
      <c r="K442" t="s">
        <v>24</v>
      </c>
      <c r="L442">
        <v>34</v>
      </c>
      <c r="M442" t="str">
        <f t="shared" si="6"/>
        <v>middle age</v>
      </c>
      <c r="N442" t="s">
        <v>15</v>
      </c>
    </row>
    <row r="443" spans="1:14" x14ac:dyDescent="0.3">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40</v>
      </c>
      <c r="D448" s="3">
        <v>130000</v>
      </c>
      <c r="E448">
        <v>0</v>
      </c>
      <c r="F448" t="s">
        <v>31</v>
      </c>
      <c r="G448" t="s">
        <v>28</v>
      </c>
      <c r="H448" t="s">
        <v>15</v>
      </c>
      <c r="I448">
        <v>1</v>
      </c>
      <c r="J448" t="s">
        <v>30</v>
      </c>
      <c r="K448" t="s">
        <v>24</v>
      </c>
      <c r="L448">
        <v>48</v>
      </c>
      <c r="M448" t="str">
        <f t="shared" si="6"/>
        <v>middle age</v>
      </c>
      <c r="N448" t="s">
        <v>18</v>
      </c>
    </row>
    <row r="449" spans="1:14" x14ac:dyDescent="0.3">
      <c r="A449">
        <v>20711</v>
      </c>
      <c r="B449" t="s">
        <v>37</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40</v>
      </c>
      <c r="D451" s="3">
        <v>40000</v>
      </c>
      <c r="E451">
        <v>1</v>
      </c>
      <c r="F451" t="s">
        <v>13</v>
      </c>
      <c r="G451" t="s">
        <v>14</v>
      </c>
      <c r="H451" t="s">
        <v>15</v>
      </c>
      <c r="I451">
        <v>0</v>
      </c>
      <c r="J451" t="s">
        <v>16</v>
      </c>
      <c r="K451" t="s">
        <v>17</v>
      </c>
      <c r="L451">
        <v>42</v>
      </c>
      <c r="M451" t="str">
        <f t="shared" ref="M451:M514" si="7">_xlfn.IFS(L451&gt;54,"old",L451&gt;=31,"middle age",L451&lt;31,"adolescent")</f>
        <v>middle age</v>
      </c>
      <c r="N451" t="s">
        <v>18</v>
      </c>
    </row>
    <row r="452" spans="1:14" x14ac:dyDescent="0.3">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39</v>
      </c>
      <c r="D460" s="3">
        <v>120000</v>
      </c>
      <c r="E460">
        <v>0</v>
      </c>
      <c r="F460" t="s">
        <v>29</v>
      </c>
      <c r="G460" t="s">
        <v>21</v>
      </c>
      <c r="H460" t="s">
        <v>15</v>
      </c>
      <c r="I460">
        <v>4</v>
      </c>
      <c r="J460" t="s">
        <v>30</v>
      </c>
      <c r="K460" t="s">
        <v>24</v>
      </c>
      <c r="L460">
        <v>32</v>
      </c>
      <c r="M460" t="str">
        <f t="shared" si="7"/>
        <v>middle age</v>
      </c>
      <c r="N460" t="s">
        <v>15</v>
      </c>
    </row>
    <row r="461" spans="1:14" x14ac:dyDescent="0.3">
      <c r="A461">
        <v>21554</v>
      </c>
      <c r="B461" t="s">
        <v>38</v>
      </c>
      <c r="C461" t="s">
        <v>40</v>
      </c>
      <c r="D461" s="3">
        <v>80000</v>
      </c>
      <c r="E461">
        <v>0</v>
      </c>
      <c r="F461" t="s">
        <v>13</v>
      </c>
      <c r="G461" t="s">
        <v>21</v>
      </c>
      <c r="H461" t="s">
        <v>18</v>
      </c>
      <c r="I461">
        <v>3</v>
      </c>
      <c r="J461" t="s">
        <v>30</v>
      </c>
      <c r="K461" t="s">
        <v>24</v>
      </c>
      <c r="L461">
        <v>33</v>
      </c>
      <c r="M461" t="str">
        <f t="shared" si="7"/>
        <v>middle age</v>
      </c>
      <c r="N461" t="s">
        <v>18</v>
      </c>
    </row>
    <row r="462" spans="1:14" x14ac:dyDescent="0.3">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40</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39</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39</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40</v>
      </c>
      <c r="D515" s="3">
        <v>60000</v>
      </c>
      <c r="E515">
        <v>4</v>
      </c>
      <c r="F515" t="s">
        <v>31</v>
      </c>
      <c r="G515" t="s">
        <v>28</v>
      </c>
      <c r="H515" t="s">
        <v>15</v>
      </c>
      <c r="I515">
        <v>2</v>
      </c>
      <c r="J515" t="s">
        <v>30</v>
      </c>
      <c r="K515" t="s">
        <v>32</v>
      </c>
      <c r="L515">
        <v>61</v>
      </c>
      <c r="M515" t="str">
        <f t="shared" ref="M515:M578" si="8">_xlfn.IFS(L515&gt;54,"old",L515&gt;=31,"middle age",L515&lt;31,"adolescent")</f>
        <v>old</v>
      </c>
      <c r="N515" t="s">
        <v>15</v>
      </c>
    </row>
    <row r="516" spans="1:14" x14ac:dyDescent="0.3">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39</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39</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37</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39</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37</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39</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37</v>
      </c>
      <c r="C536" t="s">
        <v>39</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37</v>
      </c>
      <c r="C537" t="s">
        <v>39</v>
      </c>
      <c r="D537" s="3">
        <v>50000</v>
      </c>
      <c r="E537">
        <v>3</v>
      </c>
      <c r="F537" t="s">
        <v>13</v>
      </c>
      <c r="G537" t="s">
        <v>14</v>
      </c>
      <c r="H537" t="s">
        <v>15</v>
      </c>
      <c r="I537">
        <v>3</v>
      </c>
      <c r="J537" t="s">
        <v>30</v>
      </c>
      <c r="K537" t="s">
        <v>32</v>
      </c>
      <c r="L537">
        <v>41</v>
      </c>
      <c r="M537" t="str">
        <f t="shared" si="8"/>
        <v>middle age</v>
      </c>
      <c r="N537" t="s">
        <v>18</v>
      </c>
    </row>
    <row r="538" spans="1:14" x14ac:dyDescent="0.3">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40</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38</v>
      </c>
      <c r="C554" t="s">
        <v>39</v>
      </c>
      <c r="D554" s="3">
        <v>60000</v>
      </c>
      <c r="E554">
        <v>3</v>
      </c>
      <c r="F554" t="s">
        <v>27</v>
      </c>
      <c r="G554" t="s">
        <v>21</v>
      </c>
      <c r="H554" t="s">
        <v>15</v>
      </c>
      <c r="I554">
        <v>2</v>
      </c>
      <c r="J554" t="s">
        <v>30</v>
      </c>
      <c r="K554" t="s">
        <v>32</v>
      </c>
      <c r="L554">
        <v>54</v>
      </c>
      <c r="M554" t="str">
        <f t="shared" si="8"/>
        <v>middle age</v>
      </c>
      <c r="N554" t="s">
        <v>15</v>
      </c>
    </row>
    <row r="555" spans="1:14" x14ac:dyDescent="0.3">
      <c r="A555">
        <v>17533</v>
      </c>
      <c r="B555" t="s">
        <v>37</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40</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40</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37</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39</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39</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39</v>
      </c>
      <c r="D579" s="3">
        <v>120000</v>
      </c>
      <c r="E579">
        <v>1</v>
      </c>
      <c r="F579" t="s">
        <v>13</v>
      </c>
      <c r="G579" t="s">
        <v>28</v>
      </c>
      <c r="H579" t="s">
        <v>15</v>
      </c>
      <c r="I579">
        <v>4</v>
      </c>
      <c r="J579" t="s">
        <v>16</v>
      </c>
      <c r="K579" t="s">
        <v>32</v>
      </c>
      <c r="L579">
        <v>38</v>
      </c>
      <c r="M579" t="str">
        <f t="shared" ref="M579:M642" si="9">_xlfn.IFS(L579&gt;54,"old",L579&gt;=31,"middle age",L579&lt;31,"adolescent")</f>
        <v>middle age</v>
      </c>
      <c r="N579" t="s">
        <v>18</v>
      </c>
    </row>
    <row r="580" spans="1:14" x14ac:dyDescent="0.3">
      <c r="A580">
        <v>15313</v>
      </c>
      <c r="B580" t="s">
        <v>37</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40</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37</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39</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40</v>
      </c>
      <c r="D590" s="3">
        <v>90000</v>
      </c>
      <c r="E590">
        <v>2</v>
      </c>
      <c r="F590" t="s">
        <v>27</v>
      </c>
      <c r="G590" t="s">
        <v>21</v>
      </c>
      <c r="H590" t="s">
        <v>15</v>
      </c>
      <c r="I590">
        <v>1</v>
      </c>
      <c r="J590" t="s">
        <v>30</v>
      </c>
      <c r="K590" t="s">
        <v>32</v>
      </c>
      <c r="L590">
        <v>51</v>
      </c>
      <c r="M590" t="str">
        <f t="shared" si="9"/>
        <v>middle age</v>
      </c>
      <c r="N590" t="s">
        <v>15</v>
      </c>
    </row>
    <row r="591" spans="1:14" x14ac:dyDescent="0.3">
      <c r="A591">
        <v>12100</v>
      </c>
      <c r="B591" t="s">
        <v>38</v>
      </c>
      <c r="C591" t="s">
        <v>39</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37</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39</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40</v>
      </c>
      <c r="D609" s="3">
        <v>70000</v>
      </c>
      <c r="E609">
        <v>5</v>
      </c>
      <c r="F609" t="s">
        <v>31</v>
      </c>
      <c r="G609" t="s">
        <v>21</v>
      </c>
      <c r="H609" t="s">
        <v>15</v>
      </c>
      <c r="I609">
        <v>3</v>
      </c>
      <c r="J609" t="s">
        <v>30</v>
      </c>
      <c r="K609" t="s">
        <v>32</v>
      </c>
      <c r="L609">
        <v>46</v>
      </c>
      <c r="M609" t="str">
        <f t="shared" si="9"/>
        <v>middle age</v>
      </c>
      <c r="N609" t="s">
        <v>15</v>
      </c>
    </row>
    <row r="610" spans="1:14" x14ac:dyDescent="0.3">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40</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39</v>
      </c>
      <c r="D643" s="3">
        <v>50000</v>
      </c>
      <c r="E643">
        <v>4</v>
      </c>
      <c r="F643" t="s">
        <v>13</v>
      </c>
      <c r="G643" t="s">
        <v>28</v>
      </c>
      <c r="H643" t="s">
        <v>15</v>
      </c>
      <c r="I643">
        <v>2</v>
      </c>
      <c r="J643" t="s">
        <v>30</v>
      </c>
      <c r="K643" t="s">
        <v>32</v>
      </c>
      <c r="L643">
        <v>64</v>
      </c>
      <c r="M643" t="str">
        <f t="shared" ref="M643:M706" si="10">_xlfn.IFS(L643&gt;54,"old",L643&gt;=31,"middle age",L643&lt;31,"adolescent")</f>
        <v>old</v>
      </c>
      <c r="N643" t="s">
        <v>18</v>
      </c>
    </row>
    <row r="644" spans="1:14" x14ac:dyDescent="0.3">
      <c r="A644">
        <v>21741</v>
      </c>
      <c r="B644" t="s">
        <v>37</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40</v>
      </c>
      <c r="D646" s="3">
        <v>60000</v>
      </c>
      <c r="E646">
        <v>5</v>
      </c>
      <c r="F646" t="s">
        <v>13</v>
      </c>
      <c r="G646" t="s">
        <v>14</v>
      </c>
      <c r="H646" t="s">
        <v>15</v>
      </c>
      <c r="I646">
        <v>3</v>
      </c>
      <c r="J646" t="s">
        <v>30</v>
      </c>
      <c r="K646" t="s">
        <v>32</v>
      </c>
      <c r="L646">
        <v>41</v>
      </c>
      <c r="M646" t="str">
        <f t="shared" si="10"/>
        <v>middle age</v>
      </c>
      <c r="N646" t="s">
        <v>18</v>
      </c>
    </row>
    <row r="647" spans="1:14" x14ac:dyDescent="0.3">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40</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40</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40</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37</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40</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37</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39</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39</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37</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40</v>
      </c>
      <c r="D707" s="3">
        <v>70000</v>
      </c>
      <c r="E707">
        <v>4</v>
      </c>
      <c r="F707" t="s">
        <v>13</v>
      </c>
      <c r="G707" t="s">
        <v>28</v>
      </c>
      <c r="H707" t="s">
        <v>15</v>
      </c>
      <c r="I707">
        <v>1</v>
      </c>
      <c r="J707" t="s">
        <v>30</v>
      </c>
      <c r="K707" t="s">
        <v>32</v>
      </c>
      <c r="L707">
        <v>59</v>
      </c>
      <c r="M707" t="str">
        <f t="shared" ref="M707:M770" si="11">_xlfn.IFS(L707&gt;54,"old",L707&gt;=31,"middle age",L707&lt;31,"adolescent")</f>
        <v>old</v>
      </c>
      <c r="N707" t="s">
        <v>18</v>
      </c>
    </row>
    <row r="708" spans="1:14" x14ac:dyDescent="0.3">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39</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38</v>
      </c>
      <c r="C711" t="s">
        <v>40</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40</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37</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40</v>
      </c>
      <c r="D741" s="3">
        <v>60000</v>
      </c>
      <c r="E741">
        <v>2</v>
      </c>
      <c r="F741" t="s">
        <v>19</v>
      </c>
      <c r="G741" t="s">
        <v>21</v>
      </c>
      <c r="H741" t="s">
        <v>15</v>
      </c>
      <c r="I741">
        <v>1</v>
      </c>
      <c r="J741" t="s">
        <v>30</v>
      </c>
      <c r="K741" t="s">
        <v>32</v>
      </c>
      <c r="L741">
        <v>55</v>
      </c>
      <c r="M741" t="str">
        <f t="shared" si="11"/>
        <v>old</v>
      </c>
      <c r="N741" t="s">
        <v>18</v>
      </c>
    </row>
    <row r="742" spans="1:14" x14ac:dyDescent="0.3">
      <c r="A742">
        <v>17657</v>
      </c>
      <c r="B742" t="s">
        <v>37</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40</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40</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40</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39</v>
      </c>
      <c r="D768" s="3">
        <v>50000</v>
      </c>
      <c r="E768">
        <v>4</v>
      </c>
      <c r="F768" t="s">
        <v>13</v>
      </c>
      <c r="G768" t="s">
        <v>14</v>
      </c>
      <c r="H768" t="s">
        <v>15</v>
      </c>
      <c r="I768">
        <v>3</v>
      </c>
      <c r="J768" t="s">
        <v>30</v>
      </c>
      <c r="K768" t="s">
        <v>32</v>
      </c>
      <c r="L768">
        <v>42</v>
      </c>
      <c r="M768" t="str">
        <f t="shared" si="11"/>
        <v>middle age</v>
      </c>
      <c r="N768" t="s">
        <v>18</v>
      </c>
    </row>
    <row r="769" spans="1:14" x14ac:dyDescent="0.3">
      <c r="A769">
        <v>24979</v>
      </c>
      <c r="B769" t="s">
        <v>37</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40</v>
      </c>
      <c r="D771" s="3">
        <v>100000</v>
      </c>
      <c r="E771">
        <v>4</v>
      </c>
      <c r="F771" t="s">
        <v>13</v>
      </c>
      <c r="G771" t="s">
        <v>28</v>
      </c>
      <c r="H771" t="s">
        <v>15</v>
      </c>
      <c r="I771">
        <v>4</v>
      </c>
      <c r="J771" t="s">
        <v>16</v>
      </c>
      <c r="K771" t="s">
        <v>32</v>
      </c>
      <c r="L771">
        <v>40</v>
      </c>
      <c r="M771" t="str">
        <f t="shared" ref="M771:M834" si="12">_xlfn.IFS(L771&gt;54,"old",L771&gt;=31,"middle age",L771&lt;31,"adolescent")</f>
        <v>middle age</v>
      </c>
      <c r="N771" t="s">
        <v>18</v>
      </c>
    </row>
    <row r="772" spans="1:14" x14ac:dyDescent="0.3">
      <c r="A772">
        <v>17699</v>
      </c>
      <c r="B772" t="s">
        <v>37</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39</v>
      </c>
      <c r="D777" s="3">
        <v>70000</v>
      </c>
      <c r="E777">
        <v>2</v>
      </c>
      <c r="F777" t="s">
        <v>29</v>
      </c>
      <c r="G777" t="s">
        <v>14</v>
      </c>
      <c r="H777" t="s">
        <v>15</v>
      </c>
      <c r="I777">
        <v>2</v>
      </c>
      <c r="J777" t="s">
        <v>30</v>
      </c>
      <c r="K777" t="s">
        <v>32</v>
      </c>
      <c r="L777">
        <v>54</v>
      </c>
      <c r="M777" t="str">
        <f t="shared" si="12"/>
        <v>middle age</v>
      </c>
      <c r="N777" t="s">
        <v>18</v>
      </c>
    </row>
    <row r="778" spans="1:14" x14ac:dyDescent="0.3">
      <c r="A778">
        <v>26490</v>
      </c>
      <c r="B778" t="s">
        <v>38</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40</v>
      </c>
      <c r="D782" s="3">
        <v>60000</v>
      </c>
      <c r="E782">
        <v>2</v>
      </c>
      <c r="F782" t="s">
        <v>19</v>
      </c>
      <c r="G782" t="s">
        <v>21</v>
      </c>
      <c r="H782" t="s">
        <v>15</v>
      </c>
      <c r="I782">
        <v>1</v>
      </c>
      <c r="J782" t="s">
        <v>30</v>
      </c>
      <c r="K782" t="s">
        <v>32</v>
      </c>
      <c r="L782">
        <v>55</v>
      </c>
      <c r="M782" t="str">
        <f t="shared" si="12"/>
        <v>old</v>
      </c>
      <c r="N782" t="s">
        <v>18</v>
      </c>
    </row>
    <row r="783" spans="1:14" x14ac:dyDescent="0.3">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40</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37</v>
      </c>
      <c r="C815" t="s">
        <v>40</v>
      </c>
      <c r="D815" s="3">
        <v>70000</v>
      </c>
      <c r="E815">
        <v>2</v>
      </c>
      <c r="F815" t="s">
        <v>27</v>
      </c>
      <c r="G815" t="s">
        <v>21</v>
      </c>
      <c r="H815" t="s">
        <v>15</v>
      </c>
      <c r="I815">
        <v>2</v>
      </c>
      <c r="J815" t="s">
        <v>30</v>
      </c>
      <c r="K815" t="s">
        <v>32</v>
      </c>
      <c r="L815">
        <v>53</v>
      </c>
      <c r="M815" t="str">
        <f t="shared" si="12"/>
        <v>middle age</v>
      </c>
      <c r="N815" t="s">
        <v>18</v>
      </c>
    </row>
    <row r="816" spans="1:14" x14ac:dyDescent="0.3">
      <c r="A816">
        <v>13351</v>
      </c>
      <c r="B816" t="s">
        <v>38</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40</v>
      </c>
      <c r="D835" s="3">
        <v>70000</v>
      </c>
      <c r="E835">
        <v>0</v>
      </c>
      <c r="F835" t="s">
        <v>13</v>
      </c>
      <c r="G835" t="s">
        <v>21</v>
      </c>
      <c r="H835" t="s">
        <v>18</v>
      </c>
      <c r="I835">
        <v>1</v>
      </c>
      <c r="J835" t="s">
        <v>16</v>
      </c>
      <c r="K835" t="s">
        <v>32</v>
      </c>
      <c r="L835">
        <v>37</v>
      </c>
      <c r="M835" t="str">
        <f t="shared" ref="M835:M898" si="13">_xlfn.IFS(L835&gt;54,"old",L835&gt;=31,"middle age",L835&lt;31,"adolescent")</f>
        <v>middle age</v>
      </c>
      <c r="N835" t="s">
        <v>15</v>
      </c>
    </row>
    <row r="836" spans="1:14" x14ac:dyDescent="0.3">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39</v>
      </c>
      <c r="D842" s="3">
        <v>70000</v>
      </c>
      <c r="E842">
        <v>4</v>
      </c>
      <c r="F842" t="s">
        <v>19</v>
      </c>
      <c r="G842" t="s">
        <v>21</v>
      </c>
      <c r="H842" t="s">
        <v>15</v>
      </c>
      <c r="I842">
        <v>2</v>
      </c>
      <c r="J842" t="s">
        <v>30</v>
      </c>
      <c r="K842" t="s">
        <v>32</v>
      </c>
      <c r="L842">
        <v>53</v>
      </c>
      <c r="M842" t="str">
        <f t="shared" si="13"/>
        <v>middle age</v>
      </c>
      <c r="N842" t="s">
        <v>18</v>
      </c>
    </row>
    <row r="843" spans="1:14" x14ac:dyDescent="0.3">
      <c r="A843">
        <v>12056</v>
      </c>
      <c r="B843" t="s">
        <v>37</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40</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39</v>
      </c>
      <c r="D868" s="3">
        <v>60000</v>
      </c>
      <c r="E868">
        <v>2</v>
      </c>
      <c r="F868" t="s">
        <v>27</v>
      </c>
      <c r="G868" t="s">
        <v>21</v>
      </c>
      <c r="H868" t="s">
        <v>15</v>
      </c>
      <c r="I868">
        <v>2</v>
      </c>
      <c r="J868" t="s">
        <v>30</v>
      </c>
      <c r="K868" t="s">
        <v>32</v>
      </c>
      <c r="L868">
        <v>55</v>
      </c>
      <c r="M868" t="str">
        <f t="shared" si="13"/>
        <v>old</v>
      </c>
      <c r="N868" t="s">
        <v>18</v>
      </c>
    </row>
    <row r="869" spans="1:14" x14ac:dyDescent="0.3">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39</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39</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39</v>
      </c>
      <c r="D899" s="3">
        <v>30000</v>
      </c>
      <c r="E899">
        <v>0</v>
      </c>
      <c r="F899" t="s">
        <v>29</v>
      </c>
      <c r="G899" t="s">
        <v>20</v>
      </c>
      <c r="H899" t="s">
        <v>18</v>
      </c>
      <c r="I899">
        <v>2</v>
      </c>
      <c r="J899" t="s">
        <v>16</v>
      </c>
      <c r="K899" t="s">
        <v>32</v>
      </c>
      <c r="L899">
        <v>28</v>
      </c>
      <c r="M899" t="str">
        <f t="shared" ref="M899:M962" si="14">_xlfn.IFS(L899&gt;54,"old",L899&gt;=31,"middle age",L899&lt;31,"adolescent")</f>
        <v>adolescent</v>
      </c>
      <c r="N899" t="s">
        <v>18</v>
      </c>
    </row>
    <row r="900" spans="1:14" x14ac:dyDescent="0.3">
      <c r="A900">
        <v>18066</v>
      </c>
      <c r="B900" t="s">
        <v>38</v>
      </c>
      <c r="C900" t="s">
        <v>39</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37</v>
      </c>
      <c r="C901" t="s">
        <v>40</v>
      </c>
      <c r="D901" s="3">
        <v>70000</v>
      </c>
      <c r="E901">
        <v>5</v>
      </c>
      <c r="F901" t="s">
        <v>31</v>
      </c>
      <c r="G901" t="s">
        <v>21</v>
      </c>
      <c r="H901" t="s">
        <v>15</v>
      </c>
      <c r="I901">
        <v>3</v>
      </c>
      <c r="J901" t="s">
        <v>30</v>
      </c>
      <c r="K901" t="s">
        <v>32</v>
      </c>
      <c r="L901">
        <v>46</v>
      </c>
      <c r="M901" t="str">
        <f t="shared" si="14"/>
        <v>middle age</v>
      </c>
      <c r="N901" t="s">
        <v>18</v>
      </c>
    </row>
    <row r="902" spans="1:14" x14ac:dyDescent="0.3">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39</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39</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40</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40</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37</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39</v>
      </c>
      <c r="D932" s="3">
        <v>70000</v>
      </c>
      <c r="E932">
        <v>5</v>
      </c>
      <c r="F932" t="s">
        <v>31</v>
      </c>
      <c r="G932" t="s">
        <v>21</v>
      </c>
      <c r="H932" t="s">
        <v>18</v>
      </c>
      <c r="I932">
        <v>3</v>
      </c>
      <c r="J932" t="s">
        <v>30</v>
      </c>
      <c r="K932" t="s">
        <v>32</v>
      </c>
      <c r="L932">
        <v>47</v>
      </c>
      <c r="M932" t="str">
        <f t="shared" si="14"/>
        <v>middle age</v>
      </c>
      <c r="N932" t="s">
        <v>18</v>
      </c>
    </row>
    <row r="933" spans="1:14" x14ac:dyDescent="0.3">
      <c r="A933">
        <v>14914</v>
      </c>
      <c r="B933" t="s">
        <v>37</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39</v>
      </c>
      <c r="D951" s="3">
        <v>70000</v>
      </c>
      <c r="E951">
        <v>2</v>
      </c>
      <c r="F951" t="s">
        <v>29</v>
      </c>
      <c r="G951" t="s">
        <v>14</v>
      </c>
      <c r="H951" t="s">
        <v>15</v>
      </c>
      <c r="I951">
        <v>2</v>
      </c>
      <c r="J951" t="s">
        <v>30</v>
      </c>
      <c r="K951" t="s">
        <v>32</v>
      </c>
      <c r="L951">
        <v>53</v>
      </c>
      <c r="M951" t="str">
        <f t="shared" si="14"/>
        <v>middle age</v>
      </c>
      <c r="N951" t="s">
        <v>18</v>
      </c>
    </row>
    <row r="952" spans="1:14" x14ac:dyDescent="0.3">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40</v>
      </c>
      <c r="D963" s="3">
        <v>120000</v>
      </c>
      <c r="E963">
        <v>2</v>
      </c>
      <c r="F963" t="s">
        <v>13</v>
      </c>
      <c r="G963" t="s">
        <v>28</v>
      </c>
      <c r="H963" t="s">
        <v>15</v>
      </c>
      <c r="I963">
        <v>3</v>
      </c>
      <c r="J963" t="s">
        <v>23</v>
      </c>
      <c r="K963" t="s">
        <v>32</v>
      </c>
      <c r="L963">
        <v>62</v>
      </c>
      <c r="M963" t="str">
        <f t="shared" ref="M963:M1001" si="15">_xlfn.IFS(L963&gt;54,"old",L963&gt;=31,"middle age",L963&lt;31,"adolescent")</f>
        <v>old</v>
      </c>
      <c r="N963" t="s">
        <v>18</v>
      </c>
    </row>
    <row r="964" spans="1:14" x14ac:dyDescent="0.3">
      <c r="A964">
        <v>16813</v>
      </c>
      <c r="B964" t="s">
        <v>37</v>
      </c>
      <c r="C964" t="s">
        <v>39</v>
      </c>
      <c r="D964" s="3">
        <v>60000</v>
      </c>
      <c r="E964">
        <v>2</v>
      </c>
      <c r="F964" t="s">
        <v>19</v>
      </c>
      <c r="G964" t="s">
        <v>21</v>
      </c>
      <c r="H964" t="s">
        <v>15</v>
      </c>
      <c r="I964">
        <v>2</v>
      </c>
      <c r="J964" t="s">
        <v>30</v>
      </c>
      <c r="K964" t="s">
        <v>32</v>
      </c>
      <c r="L964">
        <v>55</v>
      </c>
      <c r="M964" t="str">
        <f t="shared" si="15"/>
        <v>old</v>
      </c>
      <c r="N964" t="s">
        <v>18</v>
      </c>
    </row>
    <row r="965" spans="1:14" x14ac:dyDescent="0.3">
      <c r="A965">
        <v>16007</v>
      </c>
      <c r="B965" t="s">
        <v>37</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39</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40</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40</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38</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40</v>
      </c>
      <c r="D982" s="3">
        <v>80000</v>
      </c>
      <c r="E982">
        <v>3</v>
      </c>
      <c r="F982" t="s">
        <v>13</v>
      </c>
      <c r="G982" t="s">
        <v>14</v>
      </c>
      <c r="H982" t="s">
        <v>15</v>
      </c>
      <c r="I982">
        <v>3</v>
      </c>
      <c r="J982" t="s">
        <v>30</v>
      </c>
      <c r="K982" t="s">
        <v>32</v>
      </c>
      <c r="L982">
        <v>40</v>
      </c>
      <c r="M982" t="str">
        <f t="shared" si="15"/>
        <v>middle age</v>
      </c>
      <c r="N982" t="s">
        <v>15</v>
      </c>
    </row>
    <row r="983" spans="1:14" x14ac:dyDescent="0.3">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39</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38</v>
      </c>
      <c r="C989" t="s">
        <v>40</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37</v>
      </c>
      <c r="C990" t="s">
        <v>39</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37</v>
      </c>
      <c r="C991" t="s">
        <v>39</v>
      </c>
      <c r="D991" s="3">
        <v>60000</v>
      </c>
      <c r="E991">
        <v>4</v>
      </c>
      <c r="F991" t="s">
        <v>13</v>
      </c>
      <c r="G991" t="s">
        <v>14</v>
      </c>
      <c r="H991" t="s">
        <v>18</v>
      </c>
      <c r="I991">
        <v>3</v>
      </c>
      <c r="J991" t="s">
        <v>30</v>
      </c>
      <c r="K991" t="s">
        <v>32</v>
      </c>
      <c r="L991">
        <v>42</v>
      </c>
      <c r="M991" t="str">
        <f t="shared" si="15"/>
        <v>middle age</v>
      </c>
      <c r="N991" t="s">
        <v>18</v>
      </c>
    </row>
    <row r="992" spans="1:14" x14ac:dyDescent="0.3">
      <c r="A992">
        <v>14332</v>
      </c>
      <c r="B992" t="s">
        <v>38</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39</v>
      </c>
      <c r="D1001" s="3">
        <v>60000</v>
      </c>
      <c r="E1001">
        <v>3</v>
      </c>
      <c r="F1001" t="s">
        <v>27</v>
      </c>
      <c r="G1001" t="s">
        <v>21</v>
      </c>
      <c r="H1001" t="s">
        <v>15</v>
      </c>
      <c r="I1001">
        <v>2</v>
      </c>
      <c r="J1001" t="s">
        <v>30</v>
      </c>
      <c r="K1001" t="s">
        <v>32</v>
      </c>
      <c r="L1001">
        <v>53</v>
      </c>
      <c r="M1001" t="str">
        <f t="shared" si="15"/>
        <v>middle age</v>
      </c>
      <c r="N1001" t="s">
        <v>15</v>
      </c>
    </row>
  </sheetData>
  <autoFilter ref="A1:N1001" xr:uid="{959FBFED-70B0-476C-8901-70E9B7D349F6}"/>
  <mergeCells count="4">
    <mergeCell ref="P2:R2"/>
    <mergeCell ref="P3:R3"/>
    <mergeCell ref="P4:R4"/>
    <mergeCell ref="P5:R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9C59C-3B5F-478D-9FAF-FB1F982B5356}">
  <dimension ref="A3:P33"/>
  <sheetViews>
    <sheetView zoomScale="55" zoomScaleNormal="55" workbookViewId="0">
      <selection activeCell="U15" sqref="U15"/>
    </sheetView>
  </sheetViews>
  <sheetFormatPr defaultRowHeight="14.4" x14ac:dyDescent="0.3"/>
  <cols>
    <col min="1" max="1" width="21.88671875" bestFit="1" customWidth="1"/>
    <col min="2" max="2" width="15.5546875" bestFit="1" customWidth="1"/>
    <col min="3" max="3" width="7.33203125" customWidth="1"/>
    <col min="4" max="4" width="19.88671875" customWidth="1"/>
    <col min="13" max="13" width="21.88671875" bestFit="1" customWidth="1"/>
    <col min="14" max="14" width="15.5546875" bestFit="1" customWidth="1"/>
    <col min="15" max="15" width="6.6640625" customWidth="1"/>
    <col min="16" max="16" width="18.44140625" customWidth="1"/>
  </cols>
  <sheetData>
    <row r="3" spans="1:16" x14ac:dyDescent="0.3">
      <c r="A3" s="4" t="s">
        <v>44</v>
      </c>
      <c r="B3" s="4" t="s">
        <v>45</v>
      </c>
      <c r="M3" s="4" t="s">
        <v>46</v>
      </c>
      <c r="N3" s="4" t="s">
        <v>45</v>
      </c>
    </row>
    <row r="4" spans="1:16" x14ac:dyDescent="0.3">
      <c r="A4" s="4" t="s">
        <v>42</v>
      </c>
      <c r="B4" t="s">
        <v>18</v>
      </c>
      <c r="C4" t="s">
        <v>15</v>
      </c>
      <c r="D4" t="s">
        <v>43</v>
      </c>
      <c r="M4" s="4" t="s">
        <v>42</v>
      </c>
      <c r="N4" t="s">
        <v>18</v>
      </c>
      <c r="O4" t="s">
        <v>15</v>
      </c>
      <c r="P4" t="s">
        <v>43</v>
      </c>
    </row>
    <row r="5" spans="1:16" x14ac:dyDescent="0.3">
      <c r="A5" s="5" t="s">
        <v>40</v>
      </c>
      <c r="B5" s="3">
        <v>53440</v>
      </c>
      <c r="C5" s="3">
        <v>55774.058577405856</v>
      </c>
      <c r="D5" s="3">
        <v>54580.777096114522</v>
      </c>
      <c r="M5" s="5" t="s">
        <v>49</v>
      </c>
      <c r="N5">
        <v>71</v>
      </c>
      <c r="O5">
        <v>39</v>
      </c>
      <c r="P5">
        <v>110</v>
      </c>
    </row>
    <row r="6" spans="1:16" x14ac:dyDescent="0.3">
      <c r="A6" s="5" t="s">
        <v>39</v>
      </c>
      <c r="B6" s="3">
        <v>56208.178438661707</v>
      </c>
      <c r="C6" s="3">
        <v>60123.966942148763</v>
      </c>
      <c r="D6" s="3">
        <v>58062.62230919765</v>
      </c>
      <c r="M6" s="5" t="s">
        <v>48</v>
      </c>
      <c r="N6">
        <v>318</v>
      </c>
      <c r="O6">
        <v>383</v>
      </c>
      <c r="P6">
        <v>701</v>
      </c>
    </row>
    <row r="7" spans="1:16" x14ac:dyDescent="0.3">
      <c r="A7" s="5" t="s">
        <v>43</v>
      </c>
      <c r="B7" s="3">
        <v>54874.759152215796</v>
      </c>
      <c r="C7" s="3">
        <v>57962.577962577961</v>
      </c>
      <c r="D7" s="3">
        <v>56360</v>
      </c>
      <c r="M7" s="5" t="s">
        <v>47</v>
      </c>
      <c r="N7">
        <v>130</v>
      </c>
      <c r="O7">
        <v>59</v>
      </c>
      <c r="P7">
        <v>189</v>
      </c>
    </row>
    <row r="8" spans="1:16" x14ac:dyDescent="0.3">
      <c r="M8" s="5" t="s">
        <v>43</v>
      </c>
      <c r="N8">
        <v>519</v>
      </c>
      <c r="O8">
        <v>481</v>
      </c>
      <c r="P8">
        <v>1000</v>
      </c>
    </row>
    <row r="26" spans="1:4" x14ac:dyDescent="0.3">
      <c r="A26" s="4" t="s">
        <v>46</v>
      </c>
      <c r="B26" s="4" t="s">
        <v>45</v>
      </c>
    </row>
    <row r="27" spans="1:4" x14ac:dyDescent="0.3">
      <c r="A27" s="4" t="s">
        <v>42</v>
      </c>
      <c r="B27" t="s">
        <v>18</v>
      </c>
      <c r="C27" t="s">
        <v>15</v>
      </c>
      <c r="D27" t="s">
        <v>43</v>
      </c>
    </row>
    <row r="28" spans="1:4" x14ac:dyDescent="0.3">
      <c r="A28" s="5" t="s">
        <v>16</v>
      </c>
      <c r="B28">
        <v>166</v>
      </c>
      <c r="C28">
        <v>200</v>
      </c>
      <c r="D28">
        <v>366</v>
      </c>
    </row>
    <row r="29" spans="1:4" x14ac:dyDescent="0.3">
      <c r="A29" s="5" t="s">
        <v>26</v>
      </c>
      <c r="B29">
        <v>92</v>
      </c>
      <c r="C29">
        <v>77</v>
      </c>
      <c r="D29">
        <v>169</v>
      </c>
    </row>
    <row r="30" spans="1:4" x14ac:dyDescent="0.3">
      <c r="A30" s="5" t="s">
        <v>22</v>
      </c>
      <c r="B30">
        <v>67</v>
      </c>
      <c r="C30">
        <v>95</v>
      </c>
      <c r="D30">
        <v>162</v>
      </c>
    </row>
    <row r="31" spans="1:4" x14ac:dyDescent="0.3">
      <c r="A31" s="5" t="s">
        <v>23</v>
      </c>
      <c r="B31">
        <v>116</v>
      </c>
      <c r="C31">
        <v>76</v>
      </c>
      <c r="D31">
        <v>192</v>
      </c>
    </row>
    <row r="32" spans="1:4" x14ac:dyDescent="0.3">
      <c r="A32" s="5" t="s">
        <v>30</v>
      </c>
      <c r="B32">
        <v>78</v>
      </c>
      <c r="C32">
        <v>33</v>
      </c>
      <c r="D32">
        <v>111</v>
      </c>
    </row>
    <row r="33" spans="1:4" x14ac:dyDescent="0.3">
      <c r="A33" s="5" t="s">
        <v>43</v>
      </c>
      <c r="B33">
        <v>519</v>
      </c>
      <c r="C33">
        <v>481</v>
      </c>
      <c r="D3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E6AB-CFB8-40C5-A667-BB8BC42987BF}">
  <dimension ref="A1:P4"/>
  <sheetViews>
    <sheetView zoomScale="85" zoomScaleNormal="85" workbookViewId="0">
      <selection activeCell="T14" sqref="T14"/>
    </sheetView>
  </sheetViews>
  <sheetFormatPr defaultRowHeight="14.4" x14ac:dyDescent="0.3"/>
  <sheetData>
    <row r="1" spans="1:16" ht="14.4" customHeight="1" x14ac:dyDescent="0.3">
      <c r="A1" s="6" t="s">
        <v>50</v>
      </c>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sheetData>
  <mergeCells count="1">
    <mergeCell ref="A1:P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Mericky Fam</cp:lastModifiedBy>
  <dcterms:created xsi:type="dcterms:W3CDTF">2022-03-18T02:50:57Z</dcterms:created>
  <dcterms:modified xsi:type="dcterms:W3CDTF">2026-10-23T10:44:06Z</dcterms:modified>
</cp:coreProperties>
</file>